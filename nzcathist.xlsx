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vmoffice-my.sharepoint.com/personal/jmodzele_uvm_edu/Documents/STAT 6990/"/>
    </mc:Choice>
  </mc:AlternateContent>
  <xr:revisionPtr revIDLastSave="318" documentId="8_{C16850BE-0B4B-48B7-8D63-888529A94705}" xr6:coauthVersionLast="47" xr6:coauthVersionMax="47" xr10:uidLastSave="{549ACE10-D149-4DA4-BC12-902A558A100D}"/>
  <bookViews>
    <workbookView xWindow="42720" yWindow="3960" windowWidth="19200" windowHeight="11190" xr2:uid="{49460732-D71C-41C7-84FE-4F19C27D3A6D}"/>
  </bookViews>
  <sheets>
    <sheet name="nzcathis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 a="1"/>
  <c r="M15" i="1" s="1"/>
  <c r="M16" i="1" a="1"/>
  <c r="M16" i="1" s="1"/>
  <c r="M17" i="1" a="1"/>
  <c r="M17" i="1" s="1"/>
  <c r="M18" i="1" a="1"/>
  <c r="M18" i="1"/>
  <c r="M19" i="1" a="1"/>
  <c r="M19" i="1" s="1"/>
  <c r="M20" i="1" a="1"/>
  <c r="M20" i="1" s="1"/>
  <c r="M21" i="1" a="1"/>
  <c r="M21" i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/>
  <c r="M33" i="1" a="1"/>
  <c r="M33" i="1"/>
  <c r="M34" i="1" a="1"/>
  <c r="M34" i="1"/>
  <c r="M35" i="1" a="1"/>
  <c r="M35" i="1"/>
  <c r="M36" i="1" a="1"/>
  <c r="M36" i="1" s="1"/>
  <c r="M37" i="1" a="1"/>
  <c r="M37" i="1"/>
  <c r="M38" i="1" a="1"/>
  <c r="M38" i="1" s="1"/>
  <c r="M39" i="1" a="1"/>
  <c r="M39" i="1" s="1"/>
  <c r="M40" i="1" a="1"/>
  <c r="M40" i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/>
  <c r="M48" i="1" a="1"/>
  <c r="M48" i="1" s="1"/>
  <c r="M49" i="1" a="1"/>
  <c r="M49" i="1" s="1"/>
  <c r="M50" i="1" a="1"/>
  <c r="M50" i="1" s="1"/>
  <c r="M51" i="1" a="1"/>
  <c r="M51" i="1" s="1"/>
  <c r="M52" i="1" a="1"/>
  <c r="M52" i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/>
  <c r="M64" i="1" a="1"/>
  <c r="M64" i="1" s="1"/>
  <c r="M65" i="1" a="1"/>
  <c r="M65" i="1" s="1"/>
  <c r="M66" i="1" a="1"/>
  <c r="M66" i="1" s="1"/>
  <c r="M67" i="1" a="1"/>
  <c r="M67" i="1" s="1"/>
  <c r="M68" i="1" a="1"/>
  <c r="M68" i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/>
  <c r="M81" i="1" a="1"/>
  <c r="M81" i="1" s="1"/>
  <c r="M82" i="1" a="1"/>
  <c r="M82" i="1"/>
  <c r="M83" i="1" a="1"/>
  <c r="M83" i="1" s="1"/>
  <c r="M84" i="1" a="1"/>
  <c r="M84" i="1"/>
  <c r="M85" i="1" a="1"/>
  <c r="M85" i="1" s="1"/>
  <c r="M86" i="1" a="1"/>
  <c r="M86" i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/>
  <c r="M141" i="1" a="1"/>
  <c r="M141" i="1"/>
  <c r="M142" i="1" a="1"/>
  <c r="M142" i="1"/>
  <c r="M143" i="1" a="1"/>
  <c r="M143" i="1"/>
  <c r="M144" i="1" a="1"/>
  <c r="M144" i="1"/>
  <c r="M145" i="1" a="1"/>
  <c r="M145" i="1"/>
  <c r="M146" i="1" a="1"/>
  <c r="M146" i="1"/>
  <c r="M2" i="1" a="1"/>
  <c r="M2" i="1"/>
  <c r="M3" i="1" a="1"/>
  <c r="M3" i="1"/>
  <c r="M4" i="1" a="1"/>
  <c r="M4" i="1"/>
  <c r="M5" i="1" a="1"/>
  <c r="M5" i="1"/>
  <c r="M6" i="1" a="1"/>
  <c r="M6" i="1"/>
  <c r="M7" i="1" a="1"/>
  <c r="M7" i="1" s="1"/>
  <c r="M8" i="1" a="1"/>
  <c r="M8" i="1" s="1"/>
  <c r="M9" i="1" a="1"/>
  <c r="M9" i="1" s="1"/>
  <c r="M10" i="1" a="1"/>
  <c r="M10" i="1" s="1"/>
  <c r="M11" i="1" a="1"/>
  <c r="M11" i="1"/>
  <c r="M12" i="1" a="1"/>
  <c r="M12" i="1"/>
  <c r="M13" i="1" a="1"/>
  <c r="M13" i="1"/>
  <c r="M14" i="1" a="1"/>
  <c r="M14" i="1" s="1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C3" i="2"/>
  <c r="C39" i="2"/>
  <c r="C19" i="2"/>
  <c r="C45" i="2"/>
  <c r="C41" i="2"/>
  <c r="C44" i="2"/>
  <c r="C16" i="2"/>
  <c r="C32" i="2"/>
  <c r="C20" i="2"/>
  <c r="C34" i="2"/>
  <c r="C57" i="2"/>
  <c r="C38" i="2"/>
  <c r="C29" i="2"/>
  <c r="C58" i="2"/>
  <c r="C33" i="2"/>
  <c r="C5" i="2"/>
  <c r="C9" i="2"/>
  <c r="C50" i="2"/>
  <c r="C12" i="2"/>
  <c r="C24" i="2"/>
  <c r="C27" i="2"/>
  <c r="C60" i="2"/>
  <c r="C2" i="2"/>
  <c r="C35" i="2"/>
  <c r="C14" i="2"/>
  <c r="C21" i="2"/>
  <c r="C18" i="2"/>
  <c r="C17" i="2"/>
  <c r="C11" i="2"/>
  <c r="C23" i="2"/>
  <c r="C7" i="2"/>
  <c r="C47" i="2"/>
  <c r="C48" i="2"/>
  <c r="C43" i="2"/>
  <c r="C52" i="2"/>
  <c r="C31" i="2"/>
  <c r="C55" i="2"/>
  <c r="C10" i="2"/>
  <c r="C56" i="2"/>
  <c r="C42" i="2"/>
  <c r="C28" i="2"/>
  <c r="C59" i="2"/>
  <c r="C22" i="2"/>
  <c r="C40" i="2"/>
  <c r="C53" i="2"/>
  <c r="C4" i="2"/>
  <c r="C46" i="2"/>
  <c r="C37" i="2"/>
  <c r="C54" i="2"/>
  <c r="C13" i="2"/>
  <c r="C36" i="2"/>
  <c r="C15" i="2"/>
  <c r="C8" i="2"/>
  <c r="C49" i="2"/>
  <c r="C30" i="2"/>
  <c r="C25" i="2"/>
  <c r="C6" i="2"/>
  <c r="D3" i="2"/>
  <c r="D39" i="2"/>
  <c r="D19" i="2"/>
  <c r="D45" i="2"/>
  <c r="D41" i="2"/>
  <c r="D44" i="2"/>
  <c r="D16" i="2"/>
  <c r="D32" i="2"/>
  <c r="D20" i="2"/>
  <c r="D34" i="2"/>
  <c r="D57" i="2"/>
  <c r="D38" i="2"/>
  <c r="D29" i="2"/>
  <c r="D58" i="2"/>
  <c r="D33" i="2"/>
  <c r="D5" i="2"/>
  <c r="D9" i="2"/>
  <c r="D50" i="2"/>
  <c r="D12" i="2"/>
  <c r="D24" i="2"/>
  <c r="D27" i="2"/>
  <c r="D60" i="2"/>
  <c r="D2" i="2"/>
  <c r="D35" i="2"/>
  <c r="D14" i="2"/>
  <c r="D21" i="2"/>
  <c r="D18" i="2"/>
  <c r="D17" i="2"/>
  <c r="D11" i="2"/>
  <c r="D23" i="2"/>
  <c r="D7" i="2"/>
  <c r="D47" i="2"/>
  <c r="D48" i="2"/>
  <c r="D43" i="2"/>
  <c r="D52" i="2"/>
  <c r="D31" i="2"/>
  <c r="D55" i="2"/>
  <c r="D10" i="2"/>
  <c r="D56" i="2"/>
  <c r="D42" i="2"/>
  <c r="D28" i="2"/>
  <c r="D59" i="2"/>
  <c r="D22" i="2"/>
  <c r="D40" i="2"/>
  <c r="D53" i="2"/>
  <c r="D4" i="2"/>
  <c r="D46" i="2"/>
  <c r="D37" i="2"/>
  <c r="D54" i="2"/>
  <c r="D13" i="2"/>
  <c r="D36" i="2"/>
  <c r="D15" i="2"/>
  <c r="D8" i="2"/>
  <c r="D49" i="2"/>
  <c r="D30" i="2"/>
  <c r="D25" i="2"/>
  <c r="D6" i="2"/>
  <c r="E3" i="2"/>
  <c r="E39" i="2"/>
  <c r="E19" i="2"/>
  <c r="E45" i="2"/>
  <c r="E41" i="2"/>
  <c r="E44" i="2"/>
  <c r="E16" i="2"/>
  <c r="E32" i="2"/>
  <c r="E20" i="2"/>
  <c r="E34" i="2"/>
  <c r="E57" i="2"/>
  <c r="E38" i="2"/>
  <c r="E29" i="2"/>
  <c r="E58" i="2"/>
  <c r="E33" i="2"/>
  <c r="E5" i="2"/>
  <c r="E9" i="2"/>
  <c r="E50" i="2"/>
  <c r="E12" i="2"/>
  <c r="E24" i="2"/>
  <c r="E27" i="2"/>
  <c r="E60" i="2"/>
  <c r="E2" i="2"/>
  <c r="E35" i="2"/>
  <c r="E14" i="2"/>
  <c r="E21" i="2"/>
  <c r="E18" i="2"/>
  <c r="E17" i="2"/>
  <c r="E11" i="2"/>
  <c r="E23" i="2"/>
  <c r="E7" i="2"/>
  <c r="E47" i="2"/>
  <c r="E48" i="2"/>
  <c r="E43" i="2"/>
  <c r="E52" i="2"/>
  <c r="E31" i="2"/>
  <c r="E55" i="2"/>
  <c r="E10" i="2"/>
  <c r="E56" i="2"/>
  <c r="E42" i="2"/>
  <c r="E28" i="2"/>
  <c r="E59" i="2"/>
  <c r="E22" i="2"/>
  <c r="E40" i="2"/>
  <c r="E53" i="2"/>
  <c r="E4" i="2"/>
  <c r="E46" i="2"/>
  <c r="E37" i="2"/>
  <c r="E54" i="2"/>
  <c r="E13" i="2"/>
  <c r="E36" i="2"/>
  <c r="E15" i="2"/>
  <c r="E8" i="2"/>
  <c r="E49" i="2"/>
  <c r="E30" i="2"/>
  <c r="E25" i="2"/>
  <c r="E6" i="2"/>
  <c r="F3" i="2"/>
  <c r="F39" i="2"/>
  <c r="F19" i="2"/>
  <c r="F45" i="2"/>
  <c r="F41" i="2"/>
  <c r="F44" i="2"/>
  <c r="F16" i="2"/>
  <c r="F32" i="2"/>
  <c r="F20" i="2"/>
  <c r="F34" i="2"/>
  <c r="F57" i="2"/>
  <c r="F38" i="2"/>
  <c r="F29" i="2"/>
  <c r="F58" i="2"/>
  <c r="F33" i="2"/>
  <c r="F5" i="2"/>
  <c r="F9" i="2"/>
  <c r="F50" i="2"/>
  <c r="F12" i="2"/>
  <c r="F24" i="2"/>
  <c r="F27" i="2"/>
  <c r="F60" i="2"/>
  <c r="F2" i="2"/>
  <c r="F35" i="2"/>
  <c r="F14" i="2"/>
  <c r="F21" i="2"/>
  <c r="F18" i="2"/>
  <c r="F17" i="2"/>
  <c r="F11" i="2"/>
  <c r="F23" i="2"/>
  <c r="F7" i="2"/>
  <c r="F47" i="2"/>
  <c r="F48" i="2"/>
  <c r="F43" i="2"/>
  <c r="F52" i="2"/>
  <c r="F31" i="2"/>
  <c r="F55" i="2"/>
  <c r="F10" i="2"/>
  <c r="F56" i="2"/>
  <c r="F42" i="2"/>
  <c r="F28" i="2"/>
  <c r="F59" i="2"/>
  <c r="F22" i="2"/>
  <c r="F40" i="2"/>
  <c r="F53" i="2"/>
  <c r="F4" i="2"/>
  <c r="F46" i="2"/>
  <c r="F37" i="2"/>
  <c r="F54" i="2"/>
  <c r="F13" i="2"/>
  <c r="F36" i="2"/>
  <c r="F15" i="2"/>
  <c r="F8" i="2"/>
  <c r="F49" i="2"/>
  <c r="F30" i="2"/>
  <c r="F25" i="2"/>
  <c r="F6" i="2"/>
  <c r="G3" i="2"/>
  <c r="G39" i="2"/>
  <c r="G19" i="2"/>
  <c r="G45" i="2"/>
  <c r="G41" i="2"/>
  <c r="G44" i="2"/>
  <c r="G16" i="2"/>
  <c r="G32" i="2"/>
  <c r="G20" i="2"/>
  <c r="G34" i="2"/>
  <c r="G57" i="2"/>
  <c r="G38" i="2"/>
  <c r="G29" i="2"/>
  <c r="G58" i="2"/>
  <c r="G33" i="2"/>
  <c r="G5" i="2"/>
  <c r="G9" i="2"/>
  <c r="G50" i="2"/>
  <c r="G12" i="2"/>
  <c r="G24" i="2"/>
  <c r="G27" i="2"/>
  <c r="G60" i="2"/>
  <c r="G2" i="2"/>
  <c r="G35" i="2"/>
  <c r="G14" i="2"/>
  <c r="G21" i="2"/>
  <c r="G18" i="2"/>
  <c r="G17" i="2"/>
  <c r="G11" i="2"/>
  <c r="G23" i="2"/>
  <c r="G7" i="2"/>
  <c r="G47" i="2"/>
  <c r="G48" i="2"/>
  <c r="G43" i="2"/>
  <c r="G52" i="2"/>
  <c r="G31" i="2"/>
  <c r="G55" i="2"/>
  <c r="G10" i="2"/>
  <c r="G56" i="2"/>
  <c r="G42" i="2"/>
  <c r="G28" i="2"/>
  <c r="G59" i="2"/>
  <c r="G22" i="2"/>
  <c r="G40" i="2"/>
  <c r="G53" i="2"/>
  <c r="G4" i="2"/>
  <c r="G46" i="2"/>
  <c r="G37" i="2"/>
  <c r="G54" i="2"/>
  <c r="G13" i="2"/>
  <c r="G36" i="2"/>
  <c r="G15" i="2"/>
  <c r="G8" i="2"/>
  <c r="G49" i="2"/>
  <c r="G30" i="2"/>
  <c r="G25" i="2"/>
  <c r="G6" i="2"/>
  <c r="H3" i="2"/>
  <c r="H39" i="2"/>
  <c r="H19" i="2"/>
  <c r="H45" i="2"/>
  <c r="H41" i="2"/>
  <c r="H44" i="2"/>
  <c r="H16" i="2"/>
  <c r="H32" i="2"/>
  <c r="H20" i="2"/>
  <c r="H34" i="2"/>
  <c r="H57" i="2"/>
  <c r="H38" i="2"/>
  <c r="H29" i="2"/>
  <c r="H58" i="2"/>
  <c r="H33" i="2"/>
  <c r="H5" i="2"/>
  <c r="H9" i="2"/>
  <c r="H50" i="2"/>
  <c r="H12" i="2"/>
  <c r="H24" i="2"/>
  <c r="H27" i="2"/>
  <c r="H60" i="2"/>
  <c r="H2" i="2"/>
  <c r="H35" i="2"/>
  <c r="H14" i="2"/>
  <c r="H21" i="2"/>
  <c r="H18" i="2"/>
  <c r="H17" i="2"/>
  <c r="H11" i="2"/>
  <c r="H23" i="2"/>
  <c r="H7" i="2"/>
  <c r="H47" i="2"/>
  <c r="H48" i="2"/>
  <c r="H43" i="2"/>
  <c r="H52" i="2"/>
  <c r="H31" i="2"/>
  <c r="H55" i="2"/>
  <c r="H10" i="2"/>
  <c r="H56" i="2"/>
  <c r="H42" i="2"/>
  <c r="H28" i="2"/>
  <c r="H59" i="2"/>
  <c r="H22" i="2"/>
  <c r="H40" i="2"/>
  <c r="H53" i="2"/>
  <c r="H4" i="2"/>
  <c r="H46" i="2"/>
  <c r="H37" i="2"/>
  <c r="H54" i="2"/>
  <c r="H13" i="2"/>
  <c r="H36" i="2"/>
  <c r="H15" i="2"/>
  <c r="H8" i="2"/>
  <c r="H49" i="2"/>
  <c r="H30" i="2"/>
  <c r="H25" i="2"/>
  <c r="H6" i="2"/>
  <c r="I3" i="2"/>
  <c r="I39" i="2"/>
  <c r="I19" i="2"/>
  <c r="I45" i="2"/>
  <c r="I41" i="2"/>
  <c r="I44" i="2"/>
  <c r="I16" i="2"/>
  <c r="I32" i="2"/>
  <c r="I20" i="2"/>
  <c r="I34" i="2"/>
  <c r="I57" i="2"/>
  <c r="I38" i="2"/>
  <c r="I29" i="2"/>
  <c r="I58" i="2"/>
  <c r="I33" i="2"/>
  <c r="I5" i="2"/>
  <c r="I9" i="2"/>
  <c r="I50" i="2"/>
  <c r="I12" i="2"/>
  <c r="I24" i="2"/>
  <c r="I27" i="2"/>
  <c r="I60" i="2"/>
  <c r="I2" i="2"/>
  <c r="I35" i="2"/>
  <c r="I14" i="2"/>
  <c r="I21" i="2"/>
  <c r="I18" i="2"/>
  <c r="I17" i="2"/>
  <c r="I11" i="2"/>
  <c r="I23" i="2"/>
  <c r="I7" i="2"/>
  <c r="I47" i="2"/>
  <c r="I48" i="2"/>
  <c r="I43" i="2"/>
  <c r="I52" i="2"/>
  <c r="I31" i="2"/>
  <c r="I55" i="2"/>
  <c r="I10" i="2"/>
  <c r="I56" i="2"/>
  <c r="I42" i="2"/>
  <c r="I28" i="2"/>
  <c r="I59" i="2"/>
  <c r="I22" i="2"/>
  <c r="I40" i="2"/>
  <c r="I53" i="2"/>
  <c r="I4" i="2"/>
  <c r="I46" i="2"/>
  <c r="I37" i="2"/>
  <c r="I54" i="2"/>
  <c r="I13" i="2"/>
  <c r="I36" i="2"/>
  <c r="I15" i="2"/>
  <c r="I8" i="2"/>
  <c r="I49" i="2"/>
  <c r="I30" i="2"/>
  <c r="I25" i="2"/>
  <c r="I6" i="2"/>
  <c r="J3" i="2"/>
  <c r="J39" i="2"/>
  <c r="J19" i="2"/>
  <c r="J45" i="2"/>
  <c r="J41" i="2"/>
  <c r="J44" i="2"/>
  <c r="J16" i="2"/>
  <c r="J32" i="2"/>
  <c r="J20" i="2"/>
  <c r="J34" i="2"/>
  <c r="J57" i="2"/>
  <c r="J38" i="2"/>
  <c r="J29" i="2"/>
  <c r="J58" i="2"/>
  <c r="J33" i="2"/>
  <c r="J5" i="2"/>
  <c r="J9" i="2"/>
  <c r="J50" i="2"/>
  <c r="J12" i="2"/>
  <c r="J24" i="2"/>
  <c r="J27" i="2"/>
  <c r="J60" i="2"/>
  <c r="J2" i="2"/>
  <c r="J35" i="2"/>
  <c r="J14" i="2"/>
  <c r="J21" i="2"/>
  <c r="J18" i="2"/>
  <c r="J17" i="2"/>
  <c r="J11" i="2"/>
  <c r="J23" i="2"/>
  <c r="J7" i="2"/>
  <c r="J47" i="2"/>
  <c r="J48" i="2"/>
  <c r="J43" i="2"/>
  <c r="J52" i="2"/>
  <c r="J31" i="2"/>
  <c r="J55" i="2"/>
  <c r="J10" i="2"/>
  <c r="J56" i="2"/>
  <c r="J42" i="2"/>
  <c r="J28" i="2"/>
  <c r="J59" i="2"/>
  <c r="J22" i="2"/>
  <c r="J40" i="2"/>
  <c r="J53" i="2"/>
  <c r="J4" i="2"/>
  <c r="J46" i="2"/>
  <c r="J37" i="2"/>
  <c r="J54" i="2"/>
  <c r="J13" i="2"/>
  <c r="J36" i="2"/>
  <c r="J15" i="2"/>
  <c r="J8" i="2"/>
  <c r="J49" i="2"/>
  <c r="J30" i="2"/>
  <c r="J25" i="2"/>
  <c r="J6" i="2"/>
  <c r="K3" i="2"/>
  <c r="K39" i="2"/>
  <c r="K19" i="2"/>
  <c r="K45" i="2"/>
  <c r="K41" i="2"/>
  <c r="K44" i="2"/>
  <c r="K16" i="2"/>
  <c r="K32" i="2"/>
  <c r="K20" i="2"/>
  <c r="K34" i="2"/>
  <c r="K57" i="2"/>
  <c r="K38" i="2"/>
  <c r="K29" i="2"/>
  <c r="K58" i="2"/>
  <c r="K33" i="2"/>
  <c r="K5" i="2"/>
  <c r="K9" i="2"/>
  <c r="K50" i="2"/>
  <c r="K12" i="2"/>
  <c r="K24" i="2"/>
  <c r="K27" i="2"/>
  <c r="K60" i="2"/>
  <c r="K2" i="2"/>
  <c r="K35" i="2"/>
  <c r="K14" i="2"/>
  <c r="K21" i="2"/>
  <c r="K18" i="2"/>
  <c r="K17" i="2"/>
  <c r="K11" i="2"/>
  <c r="K23" i="2"/>
  <c r="K7" i="2"/>
  <c r="K47" i="2"/>
  <c r="K48" i="2"/>
  <c r="K43" i="2"/>
  <c r="K52" i="2"/>
  <c r="K31" i="2"/>
  <c r="K55" i="2"/>
  <c r="K10" i="2"/>
  <c r="K56" i="2"/>
  <c r="K42" i="2"/>
  <c r="K28" i="2"/>
  <c r="K59" i="2"/>
  <c r="K22" i="2"/>
  <c r="K40" i="2"/>
  <c r="K53" i="2"/>
  <c r="K4" i="2"/>
  <c r="K46" i="2"/>
  <c r="K37" i="2"/>
  <c r="K54" i="2"/>
  <c r="K13" i="2"/>
  <c r="K36" i="2"/>
  <c r="K15" i="2"/>
  <c r="K8" i="2"/>
  <c r="K49" i="2"/>
  <c r="K30" i="2"/>
  <c r="K25" i="2"/>
  <c r="K6" i="2"/>
  <c r="K61" i="2"/>
  <c r="J61" i="2"/>
  <c r="I61" i="2"/>
  <c r="H61" i="2"/>
  <c r="G61" i="2"/>
  <c r="F61" i="2"/>
  <c r="E61" i="2"/>
  <c r="D61" i="2"/>
  <c r="C61" i="2"/>
  <c r="M3" i="2"/>
  <c r="M39" i="2"/>
  <c r="M19" i="2"/>
  <c r="M45" i="2"/>
  <c r="M41" i="2"/>
  <c r="M44" i="2"/>
  <c r="M16" i="2"/>
  <c r="M32" i="2"/>
  <c r="M20" i="2"/>
  <c r="M34" i="2"/>
  <c r="M57" i="2"/>
  <c r="M38" i="2"/>
  <c r="M29" i="2"/>
  <c r="M26" i="2"/>
  <c r="K26" i="2" s="1"/>
  <c r="J26" i="2" s="1"/>
  <c r="I26" i="2" s="1"/>
  <c r="H26" i="2" s="1"/>
  <c r="G26" i="2" s="1"/>
  <c r="F26" i="2" s="1"/>
  <c r="E26" i="2" s="1"/>
  <c r="D26" i="2" s="1"/>
  <c r="M58" i="2"/>
  <c r="M33" i="2"/>
  <c r="M5" i="2"/>
  <c r="M9" i="2"/>
  <c r="M50" i="2"/>
  <c r="M12" i="2"/>
  <c r="M24" i="2"/>
  <c r="M27" i="2"/>
  <c r="M51" i="2"/>
  <c r="K51" i="2" s="1"/>
  <c r="J51" i="2" s="1"/>
  <c r="I51" i="2" s="1"/>
  <c r="H51" i="2" s="1"/>
  <c r="G51" i="2" s="1"/>
  <c r="F51" i="2" s="1"/>
  <c r="E51" i="2" s="1"/>
  <c r="D51" i="2" s="1"/>
  <c r="C51" i="2" s="1"/>
  <c r="B51" i="2" s="1"/>
  <c r="M60" i="2"/>
  <c r="M2" i="2"/>
  <c r="M35" i="2"/>
  <c r="M14" i="2"/>
  <c r="M21" i="2"/>
  <c r="M18" i="2"/>
  <c r="M17" i="2"/>
  <c r="M11" i="2"/>
  <c r="M23" i="2"/>
  <c r="M7" i="2"/>
  <c r="M47" i="2"/>
  <c r="M48" i="2"/>
  <c r="M43" i="2"/>
  <c r="M52" i="2"/>
  <c r="M31" i="2"/>
  <c r="M55" i="2"/>
  <c r="M10" i="2"/>
  <c r="M56" i="2"/>
  <c r="M42" i="2"/>
  <c r="M28" i="2"/>
  <c r="M59" i="2"/>
  <c r="M22" i="2"/>
  <c r="M40" i="2"/>
  <c r="M53" i="2"/>
  <c r="M4" i="2"/>
  <c r="M46" i="2"/>
  <c r="M37" i="2"/>
  <c r="M54" i="2"/>
  <c r="M13" i="2"/>
  <c r="M36" i="2"/>
  <c r="M15" i="2"/>
  <c r="M8" i="2"/>
  <c r="M49" i="2"/>
  <c r="M30" i="2"/>
  <c r="M25" i="2"/>
  <c r="M6" i="2"/>
  <c r="N3" i="2"/>
  <c r="N39" i="2"/>
  <c r="N19" i="2"/>
  <c r="N45" i="2"/>
  <c r="N41" i="2"/>
  <c r="N44" i="2"/>
  <c r="N16" i="2"/>
  <c r="N32" i="2"/>
  <c r="N20" i="2"/>
  <c r="N34" i="2"/>
  <c r="N57" i="2"/>
  <c r="N38" i="2"/>
  <c r="N29" i="2"/>
  <c r="N26" i="2"/>
  <c r="N58" i="2"/>
  <c r="N33" i="2"/>
  <c r="N5" i="2"/>
  <c r="N9" i="2"/>
  <c r="N50" i="2"/>
  <c r="N12" i="2"/>
  <c r="N24" i="2"/>
  <c r="N27" i="2"/>
  <c r="N51" i="2"/>
  <c r="N60" i="2"/>
  <c r="N2" i="2"/>
  <c r="N35" i="2"/>
  <c r="N14" i="2"/>
  <c r="N21" i="2"/>
  <c r="N18" i="2"/>
  <c r="N17" i="2"/>
  <c r="N11" i="2"/>
  <c r="N23" i="2"/>
  <c r="N7" i="2"/>
  <c r="N47" i="2"/>
  <c r="N48" i="2"/>
  <c r="N43" i="2"/>
  <c r="N52" i="2"/>
  <c r="N31" i="2"/>
  <c r="N55" i="2"/>
  <c r="N10" i="2"/>
  <c r="N56" i="2"/>
  <c r="N42" i="2"/>
  <c r="N28" i="2"/>
  <c r="N59" i="2"/>
  <c r="N22" i="2"/>
  <c r="N40" i="2"/>
  <c r="N53" i="2"/>
  <c r="N4" i="2"/>
  <c r="N46" i="2"/>
  <c r="N37" i="2"/>
  <c r="N54" i="2"/>
  <c r="N13" i="2"/>
  <c r="N36" i="2"/>
  <c r="N15" i="2"/>
  <c r="N8" i="2"/>
  <c r="N49" i="2"/>
  <c r="N30" i="2"/>
  <c r="N25" i="2"/>
  <c r="N6" i="2"/>
  <c r="O3" i="2"/>
  <c r="O39" i="2"/>
  <c r="O19" i="2"/>
  <c r="O45" i="2"/>
  <c r="O41" i="2"/>
  <c r="O44" i="2"/>
  <c r="O16" i="2"/>
  <c r="O32" i="2"/>
  <c r="O20" i="2"/>
  <c r="O34" i="2"/>
  <c r="O57" i="2"/>
  <c r="O38" i="2"/>
  <c r="O29" i="2"/>
  <c r="O26" i="2"/>
  <c r="O58" i="2"/>
  <c r="O33" i="2"/>
  <c r="O5" i="2"/>
  <c r="O9" i="2"/>
  <c r="O50" i="2"/>
  <c r="O12" i="2"/>
  <c r="O24" i="2"/>
  <c r="O27" i="2"/>
  <c r="O51" i="2"/>
  <c r="O60" i="2"/>
  <c r="O2" i="2"/>
  <c r="O35" i="2"/>
  <c r="O14" i="2"/>
  <c r="O21" i="2"/>
  <c r="O18" i="2"/>
  <c r="O17" i="2"/>
  <c r="O11" i="2"/>
  <c r="O23" i="2"/>
  <c r="O7" i="2"/>
  <c r="O47" i="2"/>
  <c r="O48" i="2"/>
  <c r="O43" i="2"/>
  <c r="O52" i="2"/>
  <c r="O31" i="2"/>
  <c r="O55" i="2"/>
  <c r="O10" i="2"/>
  <c r="O56" i="2"/>
  <c r="O42" i="2"/>
  <c r="O28" i="2"/>
  <c r="O59" i="2"/>
  <c r="O22" i="2"/>
  <c r="O40" i="2"/>
  <c r="O53" i="2"/>
  <c r="O4" i="2"/>
  <c r="O46" i="2"/>
  <c r="O37" i="2"/>
  <c r="O54" i="2"/>
  <c r="O13" i="2"/>
  <c r="O36" i="2"/>
  <c r="O15" i="2"/>
  <c r="O8" i="2"/>
  <c r="O49" i="2"/>
  <c r="O30" i="2"/>
  <c r="O25" i="2"/>
  <c r="O6" i="2"/>
  <c r="P3" i="2"/>
  <c r="P39" i="2"/>
  <c r="P19" i="2"/>
  <c r="P45" i="2"/>
  <c r="P41" i="2"/>
  <c r="P44" i="2"/>
  <c r="P16" i="2"/>
  <c r="P32" i="2"/>
  <c r="P20" i="2"/>
  <c r="P34" i="2"/>
  <c r="P57" i="2"/>
  <c r="P38" i="2"/>
  <c r="P29" i="2"/>
  <c r="P26" i="2"/>
  <c r="P58" i="2"/>
  <c r="P33" i="2"/>
  <c r="P5" i="2"/>
  <c r="P9" i="2"/>
  <c r="P50" i="2"/>
  <c r="P12" i="2"/>
  <c r="P24" i="2"/>
  <c r="P27" i="2"/>
  <c r="P51" i="2"/>
  <c r="P60" i="2"/>
  <c r="P2" i="2"/>
  <c r="P35" i="2"/>
  <c r="P14" i="2"/>
  <c r="P21" i="2"/>
  <c r="P18" i="2"/>
  <c r="P17" i="2"/>
  <c r="P11" i="2"/>
  <c r="P23" i="2"/>
  <c r="P7" i="2"/>
  <c r="P47" i="2"/>
  <c r="P48" i="2"/>
  <c r="P43" i="2"/>
  <c r="P52" i="2"/>
  <c r="P31" i="2"/>
  <c r="P55" i="2"/>
  <c r="P10" i="2"/>
  <c r="P56" i="2"/>
  <c r="P42" i="2"/>
  <c r="P28" i="2"/>
  <c r="P59" i="2"/>
  <c r="P22" i="2"/>
  <c r="P40" i="2"/>
  <c r="P53" i="2"/>
  <c r="P4" i="2"/>
  <c r="P46" i="2"/>
  <c r="P37" i="2"/>
  <c r="P54" i="2"/>
  <c r="P13" i="2"/>
  <c r="P36" i="2"/>
  <c r="P15" i="2"/>
  <c r="P8" i="2"/>
  <c r="P49" i="2"/>
  <c r="P30" i="2"/>
  <c r="P25" i="2"/>
  <c r="P6" i="2"/>
  <c r="Q3" i="2"/>
  <c r="Q39" i="2"/>
  <c r="Q19" i="2"/>
  <c r="Q45" i="2"/>
  <c r="Q41" i="2"/>
  <c r="Q44" i="2"/>
  <c r="Q16" i="2"/>
  <c r="Q32" i="2"/>
  <c r="Q20" i="2"/>
  <c r="Q34" i="2"/>
  <c r="Q57" i="2"/>
  <c r="Q38" i="2"/>
  <c r="Q29" i="2"/>
  <c r="Q26" i="2"/>
  <c r="Q58" i="2"/>
  <c r="Q33" i="2"/>
  <c r="Q5" i="2"/>
  <c r="Q9" i="2"/>
  <c r="Q50" i="2"/>
  <c r="Q12" i="2"/>
  <c r="Q24" i="2"/>
  <c r="Q27" i="2"/>
  <c r="Q51" i="2"/>
  <c r="Q60" i="2"/>
  <c r="Q2" i="2"/>
  <c r="Q35" i="2"/>
  <c r="Q14" i="2"/>
  <c r="Q21" i="2"/>
  <c r="Q18" i="2"/>
  <c r="Q17" i="2"/>
  <c r="Q11" i="2"/>
  <c r="Q23" i="2"/>
  <c r="Q7" i="2"/>
  <c r="Q47" i="2"/>
  <c r="Q48" i="2"/>
  <c r="Q43" i="2"/>
  <c r="Q52" i="2"/>
  <c r="Q31" i="2"/>
  <c r="Q55" i="2"/>
  <c r="Q10" i="2"/>
  <c r="Q56" i="2"/>
  <c r="Q42" i="2"/>
  <c r="Q28" i="2"/>
  <c r="Q59" i="2"/>
  <c r="Q22" i="2"/>
  <c r="Q40" i="2"/>
  <c r="Q53" i="2"/>
  <c r="Q4" i="2"/>
  <c r="Q46" i="2"/>
  <c r="Q37" i="2"/>
  <c r="Q54" i="2"/>
  <c r="Q13" i="2"/>
  <c r="Q36" i="2"/>
  <c r="Q15" i="2"/>
  <c r="Q8" i="2"/>
  <c r="Q49" i="2"/>
  <c r="Q30" i="2"/>
  <c r="Q25" i="2"/>
  <c r="Q6" i="2"/>
  <c r="R3" i="2"/>
  <c r="R39" i="2"/>
  <c r="R19" i="2"/>
  <c r="R45" i="2"/>
  <c r="R41" i="2"/>
  <c r="R44" i="2"/>
  <c r="R16" i="2"/>
  <c r="R32" i="2"/>
  <c r="R20" i="2"/>
  <c r="R34" i="2"/>
  <c r="R57" i="2"/>
  <c r="R38" i="2"/>
  <c r="R29" i="2"/>
  <c r="R26" i="2"/>
  <c r="R58" i="2"/>
  <c r="R33" i="2"/>
  <c r="R5" i="2"/>
  <c r="R9" i="2"/>
  <c r="R50" i="2"/>
  <c r="R12" i="2"/>
  <c r="R24" i="2"/>
  <c r="R27" i="2"/>
  <c r="R51" i="2"/>
  <c r="R60" i="2"/>
  <c r="R2" i="2"/>
  <c r="R35" i="2"/>
  <c r="R14" i="2"/>
  <c r="R21" i="2"/>
  <c r="R18" i="2"/>
  <c r="R17" i="2"/>
  <c r="R11" i="2"/>
  <c r="R23" i="2"/>
  <c r="R7" i="2"/>
  <c r="R47" i="2"/>
  <c r="R48" i="2"/>
  <c r="R43" i="2"/>
  <c r="R52" i="2"/>
  <c r="R31" i="2"/>
  <c r="R55" i="2"/>
  <c r="R10" i="2"/>
  <c r="R56" i="2"/>
  <c r="R42" i="2"/>
  <c r="R28" i="2"/>
  <c r="R59" i="2"/>
  <c r="R22" i="2"/>
  <c r="R40" i="2"/>
  <c r="R53" i="2"/>
  <c r="R4" i="2"/>
  <c r="R46" i="2"/>
  <c r="R37" i="2"/>
  <c r="R54" i="2"/>
  <c r="R13" i="2"/>
  <c r="R36" i="2"/>
  <c r="R15" i="2"/>
  <c r="R8" i="2"/>
  <c r="R49" i="2"/>
  <c r="R30" i="2"/>
  <c r="R25" i="2"/>
  <c r="R6" i="2"/>
  <c r="S3" i="2"/>
  <c r="S39" i="2"/>
  <c r="S19" i="2"/>
  <c r="S45" i="2"/>
  <c r="S41" i="2"/>
  <c r="S44" i="2"/>
  <c r="S16" i="2"/>
  <c r="S32" i="2"/>
  <c r="S20" i="2"/>
  <c r="S34" i="2"/>
  <c r="S57" i="2"/>
  <c r="S38" i="2"/>
  <c r="S29" i="2"/>
  <c r="S26" i="2"/>
  <c r="S58" i="2"/>
  <c r="S33" i="2"/>
  <c r="S5" i="2"/>
  <c r="S9" i="2"/>
  <c r="S50" i="2"/>
  <c r="S12" i="2"/>
  <c r="S24" i="2"/>
  <c r="S27" i="2"/>
  <c r="S51" i="2"/>
  <c r="S60" i="2"/>
  <c r="S2" i="2"/>
  <c r="S35" i="2"/>
  <c r="S14" i="2"/>
  <c r="S21" i="2"/>
  <c r="S18" i="2"/>
  <c r="S17" i="2"/>
  <c r="S11" i="2"/>
  <c r="S23" i="2"/>
  <c r="S7" i="2"/>
  <c r="S47" i="2"/>
  <c r="S48" i="2"/>
  <c r="S43" i="2"/>
  <c r="S52" i="2"/>
  <c r="S31" i="2"/>
  <c r="S55" i="2"/>
  <c r="S10" i="2"/>
  <c r="S56" i="2"/>
  <c r="S42" i="2"/>
  <c r="S28" i="2"/>
  <c r="S59" i="2"/>
  <c r="S22" i="2"/>
  <c r="S40" i="2"/>
  <c r="S53" i="2"/>
  <c r="S4" i="2"/>
  <c r="S46" i="2"/>
  <c r="S37" i="2"/>
  <c r="S54" i="2"/>
  <c r="S13" i="2"/>
  <c r="S36" i="2"/>
  <c r="S15" i="2"/>
  <c r="S8" i="2"/>
  <c r="S49" i="2"/>
  <c r="S30" i="2"/>
  <c r="S25" i="2"/>
  <c r="S6" i="2"/>
  <c r="T3" i="2"/>
  <c r="T39" i="2"/>
  <c r="T19" i="2"/>
  <c r="T45" i="2"/>
  <c r="T41" i="2"/>
  <c r="T44" i="2"/>
  <c r="T16" i="2"/>
  <c r="T32" i="2"/>
  <c r="T20" i="2"/>
  <c r="T34" i="2"/>
  <c r="T57" i="2"/>
  <c r="T38" i="2"/>
  <c r="T29" i="2"/>
  <c r="T26" i="2"/>
  <c r="T58" i="2"/>
  <c r="T33" i="2"/>
  <c r="T5" i="2"/>
  <c r="T9" i="2"/>
  <c r="T50" i="2"/>
  <c r="T12" i="2"/>
  <c r="T24" i="2"/>
  <c r="T27" i="2"/>
  <c r="T51" i="2"/>
  <c r="T60" i="2"/>
  <c r="T2" i="2"/>
  <c r="T35" i="2"/>
  <c r="T14" i="2"/>
  <c r="T21" i="2"/>
  <c r="T18" i="2"/>
  <c r="T17" i="2"/>
  <c r="T11" i="2"/>
  <c r="T23" i="2"/>
  <c r="T7" i="2"/>
  <c r="T47" i="2"/>
  <c r="T48" i="2"/>
  <c r="T43" i="2"/>
  <c r="T52" i="2"/>
  <c r="T31" i="2"/>
  <c r="T55" i="2"/>
  <c r="T10" i="2"/>
  <c r="T56" i="2"/>
  <c r="T42" i="2"/>
  <c r="T28" i="2"/>
  <c r="T59" i="2"/>
  <c r="T22" i="2"/>
  <c r="T40" i="2"/>
  <c r="T53" i="2"/>
  <c r="T4" i="2"/>
  <c r="T46" i="2"/>
  <c r="T37" i="2"/>
  <c r="T54" i="2"/>
  <c r="T13" i="2"/>
  <c r="T36" i="2"/>
  <c r="T15" i="2"/>
  <c r="T8" i="2"/>
  <c r="T49" i="2"/>
  <c r="T30" i="2"/>
  <c r="T25" i="2"/>
  <c r="T6" i="2"/>
  <c r="U3" i="2"/>
  <c r="U39" i="2"/>
  <c r="U19" i="2"/>
  <c r="U45" i="2"/>
  <c r="U41" i="2"/>
  <c r="U44" i="2"/>
  <c r="U16" i="2"/>
  <c r="U32" i="2"/>
  <c r="U20" i="2"/>
  <c r="U34" i="2"/>
  <c r="U57" i="2"/>
  <c r="U38" i="2"/>
  <c r="U29" i="2"/>
  <c r="U26" i="2"/>
  <c r="U58" i="2"/>
  <c r="U33" i="2"/>
  <c r="U5" i="2"/>
  <c r="U9" i="2"/>
  <c r="U50" i="2"/>
  <c r="U12" i="2"/>
  <c r="U24" i="2"/>
  <c r="U27" i="2"/>
  <c r="U51" i="2"/>
  <c r="U60" i="2"/>
  <c r="U2" i="2"/>
  <c r="U35" i="2"/>
  <c r="U14" i="2"/>
  <c r="U21" i="2"/>
  <c r="U18" i="2"/>
  <c r="U17" i="2"/>
  <c r="U11" i="2"/>
  <c r="U23" i="2"/>
  <c r="U7" i="2"/>
  <c r="U47" i="2"/>
  <c r="U48" i="2"/>
  <c r="U43" i="2"/>
  <c r="U52" i="2"/>
  <c r="U31" i="2"/>
  <c r="U55" i="2"/>
  <c r="U10" i="2"/>
  <c r="U56" i="2"/>
  <c r="U42" i="2"/>
  <c r="U28" i="2"/>
  <c r="U59" i="2"/>
  <c r="U22" i="2"/>
  <c r="U40" i="2"/>
  <c r="U53" i="2"/>
  <c r="U4" i="2"/>
  <c r="U46" i="2"/>
  <c r="U37" i="2"/>
  <c r="U54" i="2"/>
  <c r="U13" i="2"/>
  <c r="U36" i="2"/>
  <c r="U15" i="2"/>
  <c r="U8" i="2"/>
  <c r="U49" i="2"/>
  <c r="U30" i="2"/>
  <c r="U25" i="2"/>
  <c r="U6" i="2"/>
  <c r="U61" i="2"/>
  <c r="T61" i="2"/>
  <c r="S61" i="2"/>
  <c r="R61" i="2"/>
  <c r="Q61" i="2"/>
  <c r="P61" i="2"/>
  <c r="O61" i="2"/>
  <c r="N61" i="2"/>
  <c r="M61" i="2"/>
  <c r="AE3" i="2"/>
  <c r="AE39" i="2"/>
  <c r="AE19" i="2"/>
  <c r="AE45" i="2"/>
  <c r="AE41" i="2"/>
  <c r="AE44" i="2"/>
  <c r="AE16" i="2"/>
  <c r="AE32" i="2"/>
  <c r="AE20" i="2"/>
  <c r="AE34" i="2"/>
  <c r="AE57" i="2"/>
  <c r="AE38" i="2"/>
  <c r="AE29" i="2"/>
  <c r="AE26" i="2"/>
  <c r="AE58" i="2"/>
  <c r="AE33" i="2"/>
  <c r="AE5" i="2"/>
  <c r="AE9" i="2"/>
  <c r="AE50" i="2"/>
  <c r="AE12" i="2"/>
  <c r="AE24" i="2"/>
  <c r="AE27" i="2"/>
  <c r="AE51" i="2"/>
  <c r="AE60" i="2"/>
  <c r="AE2" i="2"/>
  <c r="AE35" i="2"/>
  <c r="AE14" i="2"/>
  <c r="AE21" i="2"/>
  <c r="AE18" i="2"/>
  <c r="AE17" i="2"/>
  <c r="AE11" i="2"/>
  <c r="AE23" i="2"/>
  <c r="AE7" i="2"/>
  <c r="AE47" i="2"/>
  <c r="AE48" i="2"/>
  <c r="AE43" i="2"/>
  <c r="AE52" i="2"/>
  <c r="AE31" i="2"/>
  <c r="AE55" i="2"/>
  <c r="AE10" i="2"/>
  <c r="AE56" i="2"/>
  <c r="AE42" i="2"/>
  <c r="AE28" i="2"/>
  <c r="AE59" i="2"/>
  <c r="AE22" i="2"/>
  <c r="AE40" i="2"/>
  <c r="AE53" i="2"/>
  <c r="AE4" i="2"/>
  <c r="AE46" i="2"/>
  <c r="AE37" i="2"/>
  <c r="AE54" i="2"/>
  <c r="AE13" i="2"/>
  <c r="AE36" i="2"/>
  <c r="AE15" i="2"/>
  <c r="AE8" i="2"/>
  <c r="AE49" i="2"/>
  <c r="AE30" i="2"/>
  <c r="AE25" i="2"/>
  <c r="AE6" i="2"/>
  <c r="AD3" i="2"/>
  <c r="AD39" i="2"/>
  <c r="AD19" i="2"/>
  <c r="AD45" i="2"/>
  <c r="AD41" i="2"/>
  <c r="AD44" i="2"/>
  <c r="AD16" i="2"/>
  <c r="AD32" i="2"/>
  <c r="AD20" i="2"/>
  <c r="AD34" i="2"/>
  <c r="AD57" i="2"/>
  <c r="AD38" i="2"/>
  <c r="AD29" i="2"/>
  <c r="AD26" i="2"/>
  <c r="AD58" i="2"/>
  <c r="AD33" i="2"/>
  <c r="AD5" i="2"/>
  <c r="AD9" i="2"/>
  <c r="AD50" i="2"/>
  <c r="AD12" i="2"/>
  <c r="AD24" i="2"/>
  <c r="AD27" i="2"/>
  <c r="AD51" i="2"/>
  <c r="AD60" i="2"/>
  <c r="AD2" i="2"/>
  <c r="AD35" i="2"/>
  <c r="AD14" i="2"/>
  <c r="AD21" i="2"/>
  <c r="AD18" i="2"/>
  <c r="AD17" i="2"/>
  <c r="AD11" i="2"/>
  <c r="AD23" i="2"/>
  <c r="AD7" i="2"/>
  <c r="AD47" i="2"/>
  <c r="AD48" i="2"/>
  <c r="AD43" i="2"/>
  <c r="AD52" i="2"/>
  <c r="AD31" i="2"/>
  <c r="AD55" i="2"/>
  <c r="AD10" i="2"/>
  <c r="AD56" i="2"/>
  <c r="AD42" i="2"/>
  <c r="AD28" i="2"/>
  <c r="AD59" i="2"/>
  <c r="AD22" i="2"/>
  <c r="AD40" i="2"/>
  <c r="AD53" i="2"/>
  <c r="AD4" i="2"/>
  <c r="AD46" i="2"/>
  <c r="AD37" i="2"/>
  <c r="AD54" i="2"/>
  <c r="AD13" i="2"/>
  <c r="AD36" i="2"/>
  <c r="AD15" i="2"/>
  <c r="AD8" i="2"/>
  <c r="AD49" i="2"/>
  <c r="AD30" i="2"/>
  <c r="AD25" i="2"/>
  <c r="AD6" i="2"/>
  <c r="AC3" i="2"/>
  <c r="AC39" i="2"/>
  <c r="AC19" i="2"/>
  <c r="AC45" i="2"/>
  <c r="AC41" i="2"/>
  <c r="AC44" i="2"/>
  <c r="AC16" i="2"/>
  <c r="AC32" i="2"/>
  <c r="AC20" i="2"/>
  <c r="AC34" i="2"/>
  <c r="AC57" i="2"/>
  <c r="AC38" i="2"/>
  <c r="AC29" i="2"/>
  <c r="AC26" i="2"/>
  <c r="AC58" i="2"/>
  <c r="AC33" i="2"/>
  <c r="AC5" i="2"/>
  <c r="AC9" i="2"/>
  <c r="AC50" i="2"/>
  <c r="AC12" i="2"/>
  <c r="AC24" i="2"/>
  <c r="AC27" i="2"/>
  <c r="AC51" i="2"/>
  <c r="AC60" i="2"/>
  <c r="AC2" i="2"/>
  <c r="AC35" i="2"/>
  <c r="AC14" i="2"/>
  <c r="AC21" i="2"/>
  <c r="AC18" i="2"/>
  <c r="AC17" i="2"/>
  <c r="AC11" i="2"/>
  <c r="AC23" i="2"/>
  <c r="AC7" i="2"/>
  <c r="AC47" i="2"/>
  <c r="AC48" i="2"/>
  <c r="AC43" i="2"/>
  <c r="AC52" i="2"/>
  <c r="AC31" i="2"/>
  <c r="AC55" i="2"/>
  <c r="AC10" i="2"/>
  <c r="AC56" i="2"/>
  <c r="AC42" i="2"/>
  <c r="AC28" i="2"/>
  <c r="AC59" i="2"/>
  <c r="AC22" i="2"/>
  <c r="AC40" i="2"/>
  <c r="AC53" i="2"/>
  <c r="AC4" i="2"/>
  <c r="AC46" i="2"/>
  <c r="AC37" i="2"/>
  <c r="AC54" i="2"/>
  <c r="AC13" i="2"/>
  <c r="AC36" i="2"/>
  <c r="AC15" i="2"/>
  <c r="AC8" i="2"/>
  <c r="AC49" i="2"/>
  <c r="AC30" i="2"/>
  <c r="AC25" i="2"/>
  <c r="AC6" i="2"/>
  <c r="AB3" i="2"/>
  <c r="AB39" i="2"/>
  <c r="AB19" i="2"/>
  <c r="AB45" i="2"/>
  <c r="AB41" i="2"/>
  <c r="AB44" i="2"/>
  <c r="AB16" i="2"/>
  <c r="AB32" i="2"/>
  <c r="AB20" i="2"/>
  <c r="AB34" i="2"/>
  <c r="AB57" i="2"/>
  <c r="AB38" i="2"/>
  <c r="AB29" i="2"/>
  <c r="AB26" i="2"/>
  <c r="AB58" i="2"/>
  <c r="AB33" i="2"/>
  <c r="AB5" i="2"/>
  <c r="AB9" i="2"/>
  <c r="AB50" i="2"/>
  <c r="AB12" i="2"/>
  <c r="AB24" i="2"/>
  <c r="AB27" i="2"/>
  <c r="AB51" i="2"/>
  <c r="AB60" i="2"/>
  <c r="AB2" i="2"/>
  <c r="AB35" i="2"/>
  <c r="AB14" i="2"/>
  <c r="AB21" i="2"/>
  <c r="AB18" i="2"/>
  <c r="AB17" i="2"/>
  <c r="AB11" i="2"/>
  <c r="AB23" i="2"/>
  <c r="AB7" i="2"/>
  <c r="AB47" i="2"/>
  <c r="AB48" i="2"/>
  <c r="AB43" i="2"/>
  <c r="AB52" i="2"/>
  <c r="AB31" i="2"/>
  <c r="AB55" i="2"/>
  <c r="AB10" i="2"/>
  <c r="AB56" i="2"/>
  <c r="AB42" i="2"/>
  <c r="AB28" i="2"/>
  <c r="AB59" i="2"/>
  <c r="AB22" i="2"/>
  <c r="AB40" i="2"/>
  <c r="AB53" i="2"/>
  <c r="AB4" i="2"/>
  <c r="AB46" i="2"/>
  <c r="AB37" i="2"/>
  <c r="AB54" i="2"/>
  <c r="AB13" i="2"/>
  <c r="AB36" i="2"/>
  <c r="AB15" i="2"/>
  <c r="AB8" i="2"/>
  <c r="AB49" i="2"/>
  <c r="AB30" i="2"/>
  <c r="AB25" i="2"/>
  <c r="AB6" i="2"/>
  <c r="AA3" i="2"/>
  <c r="AA39" i="2"/>
  <c r="AA19" i="2"/>
  <c r="AA45" i="2"/>
  <c r="AA41" i="2"/>
  <c r="AA44" i="2"/>
  <c r="AA16" i="2"/>
  <c r="AA32" i="2"/>
  <c r="AA20" i="2"/>
  <c r="AA34" i="2"/>
  <c r="AA57" i="2"/>
  <c r="AA38" i="2"/>
  <c r="AA29" i="2"/>
  <c r="AA26" i="2"/>
  <c r="AA58" i="2"/>
  <c r="AA33" i="2"/>
  <c r="AA5" i="2"/>
  <c r="AA9" i="2"/>
  <c r="AA50" i="2"/>
  <c r="AA12" i="2"/>
  <c r="AA24" i="2"/>
  <c r="AA27" i="2"/>
  <c r="AA51" i="2"/>
  <c r="AA60" i="2"/>
  <c r="AA2" i="2"/>
  <c r="AA35" i="2"/>
  <c r="AA14" i="2"/>
  <c r="AA21" i="2"/>
  <c r="AA18" i="2"/>
  <c r="AA17" i="2"/>
  <c r="AA11" i="2"/>
  <c r="AA23" i="2"/>
  <c r="AA7" i="2"/>
  <c r="AA47" i="2"/>
  <c r="AA48" i="2"/>
  <c r="AA43" i="2"/>
  <c r="AA52" i="2"/>
  <c r="AA31" i="2"/>
  <c r="AA55" i="2"/>
  <c r="AA10" i="2"/>
  <c r="AA56" i="2"/>
  <c r="AA42" i="2"/>
  <c r="AA28" i="2"/>
  <c r="AA59" i="2"/>
  <c r="AA22" i="2"/>
  <c r="AA40" i="2"/>
  <c r="AA53" i="2"/>
  <c r="AA4" i="2"/>
  <c r="AA46" i="2"/>
  <c r="AA37" i="2"/>
  <c r="AA54" i="2"/>
  <c r="AA13" i="2"/>
  <c r="AA36" i="2"/>
  <c r="AA15" i="2"/>
  <c r="AA8" i="2"/>
  <c r="AA49" i="2"/>
  <c r="AA30" i="2"/>
  <c r="AA25" i="2"/>
  <c r="AA6" i="2"/>
  <c r="Z3" i="2"/>
  <c r="Z39" i="2"/>
  <c r="Z19" i="2"/>
  <c r="Z45" i="2"/>
  <c r="Z41" i="2"/>
  <c r="Z44" i="2"/>
  <c r="Z16" i="2"/>
  <c r="Z32" i="2"/>
  <c r="Z20" i="2"/>
  <c r="Z34" i="2"/>
  <c r="Z57" i="2"/>
  <c r="Z38" i="2"/>
  <c r="Z29" i="2"/>
  <c r="Z26" i="2"/>
  <c r="Z58" i="2"/>
  <c r="Z33" i="2"/>
  <c r="Z5" i="2"/>
  <c r="Z9" i="2"/>
  <c r="Z50" i="2"/>
  <c r="Z12" i="2"/>
  <c r="Z24" i="2"/>
  <c r="Z27" i="2"/>
  <c r="Z51" i="2"/>
  <c r="Z60" i="2"/>
  <c r="Z2" i="2"/>
  <c r="Z35" i="2"/>
  <c r="Z14" i="2"/>
  <c r="Z21" i="2"/>
  <c r="Z18" i="2"/>
  <c r="Z17" i="2"/>
  <c r="Z11" i="2"/>
  <c r="Z23" i="2"/>
  <c r="Z7" i="2"/>
  <c r="Z47" i="2"/>
  <c r="Z48" i="2"/>
  <c r="Z43" i="2"/>
  <c r="Z52" i="2"/>
  <c r="Z31" i="2"/>
  <c r="Z55" i="2"/>
  <c r="Z10" i="2"/>
  <c r="Z56" i="2"/>
  <c r="Z42" i="2"/>
  <c r="Z28" i="2"/>
  <c r="Z59" i="2"/>
  <c r="Z22" i="2"/>
  <c r="Z40" i="2"/>
  <c r="Z53" i="2"/>
  <c r="Z4" i="2"/>
  <c r="Z46" i="2"/>
  <c r="Z37" i="2"/>
  <c r="Z54" i="2"/>
  <c r="Z13" i="2"/>
  <c r="Z36" i="2"/>
  <c r="Z15" i="2"/>
  <c r="Z8" i="2"/>
  <c r="Z49" i="2"/>
  <c r="Z30" i="2"/>
  <c r="Z25" i="2"/>
  <c r="Z6" i="2"/>
  <c r="Y3" i="2"/>
  <c r="Y39" i="2"/>
  <c r="Y19" i="2"/>
  <c r="Y45" i="2"/>
  <c r="Y41" i="2"/>
  <c r="Y44" i="2"/>
  <c r="Y16" i="2"/>
  <c r="Y32" i="2"/>
  <c r="Y20" i="2"/>
  <c r="Y34" i="2"/>
  <c r="Y57" i="2"/>
  <c r="Y38" i="2"/>
  <c r="Y29" i="2"/>
  <c r="Y26" i="2"/>
  <c r="Y58" i="2"/>
  <c r="Y33" i="2"/>
  <c r="Y5" i="2"/>
  <c r="Y9" i="2"/>
  <c r="Y50" i="2"/>
  <c r="Y12" i="2"/>
  <c r="Y24" i="2"/>
  <c r="Y27" i="2"/>
  <c r="Y51" i="2"/>
  <c r="Y60" i="2"/>
  <c r="Y2" i="2"/>
  <c r="Y35" i="2"/>
  <c r="Y14" i="2"/>
  <c r="Y21" i="2"/>
  <c r="Y18" i="2"/>
  <c r="Y17" i="2"/>
  <c r="Y11" i="2"/>
  <c r="Y23" i="2"/>
  <c r="Y7" i="2"/>
  <c r="Y47" i="2"/>
  <c r="Y48" i="2"/>
  <c r="Y43" i="2"/>
  <c r="Y52" i="2"/>
  <c r="Y31" i="2"/>
  <c r="Y55" i="2"/>
  <c r="Y10" i="2"/>
  <c r="Y56" i="2"/>
  <c r="Y42" i="2"/>
  <c r="Y28" i="2"/>
  <c r="Y59" i="2"/>
  <c r="Y22" i="2"/>
  <c r="Y40" i="2"/>
  <c r="Y53" i="2"/>
  <c r="Y4" i="2"/>
  <c r="Y46" i="2"/>
  <c r="Y37" i="2"/>
  <c r="Y54" i="2"/>
  <c r="Y13" i="2"/>
  <c r="Y36" i="2"/>
  <c r="Y15" i="2"/>
  <c r="Y8" i="2"/>
  <c r="Y49" i="2"/>
  <c r="Y30" i="2"/>
  <c r="Y25" i="2"/>
  <c r="Y6" i="2"/>
  <c r="X3" i="2"/>
  <c r="X39" i="2"/>
  <c r="X19" i="2"/>
  <c r="X45" i="2"/>
  <c r="X41" i="2"/>
  <c r="X44" i="2"/>
  <c r="X16" i="2"/>
  <c r="X32" i="2"/>
  <c r="X20" i="2"/>
  <c r="X34" i="2"/>
  <c r="X57" i="2"/>
  <c r="X38" i="2"/>
  <c r="X29" i="2"/>
  <c r="X26" i="2"/>
  <c r="X58" i="2"/>
  <c r="X33" i="2"/>
  <c r="X5" i="2"/>
  <c r="X9" i="2"/>
  <c r="X50" i="2"/>
  <c r="X12" i="2"/>
  <c r="X24" i="2"/>
  <c r="X27" i="2"/>
  <c r="X51" i="2"/>
  <c r="X60" i="2"/>
  <c r="X2" i="2"/>
  <c r="X35" i="2"/>
  <c r="X14" i="2"/>
  <c r="X21" i="2"/>
  <c r="X18" i="2"/>
  <c r="X17" i="2"/>
  <c r="X11" i="2"/>
  <c r="X23" i="2"/>
  <c r="X7" i="2"/>
  <c r="X47" i="2"/>
  <c r="X48" i="2"/>
  <c r="X43" i="2"/>
  <c r="X52" i="2"/>
  <c r="X31" i="2"/>
  <c r="X55" i="2"/>
  <c r="X10" i="2"/>
  <c r="X56" i="2"/>
  <c r="X42" i="2"/>
  <c r="X28" i="2"/>
  <c r="X59" i="2"/>
  <c r="X22" i="2"/>
  <c r="X40" i="2"/>
  <c r="X53" i="2"/>
  <c r="X4" i="2"/>
  <c r="X46" i="2"/>
  <c r="X37" i="2"/>
  <c r="X54" i="2"/>
  <c r="X13" i="2"/>
  <c r="X36" i="2"/>
  <c r="X15" i="2"/>
  <c r="X8" i="2"/>
  <c r="X49" i="2"/>
  <c r="X30" i="2"/>
  <c r="X25" i="2"/>
  <c r="X6" i="2"/>
  <c r="W3" i="2"/>
  <c r="W39" i="2"/>
  <c r="W19" i="2"/>
  <c r="W45" i="2"/>
  <c r="W41" i="2"/>
  <c r="W44" i="2"/>
  <c r="W16" i="2"/>
  <c r="W32" i="2"/>
  <c r="W20" i="2"/>
  <c r="W34" i="2"/>
  <c r="W57" i="2"/>
  <c r="W38" i="2"/>
  <c r="W29" i="2"/>
  <c r="W26" i="2"/>
  <c r="W58" i="2"/>
  <c r="W33" i="2"/>
  <c r="W5" i="2"/>
  <c r="W9" i="2"/>
  <c r="W50" i="2"/>
  <c r="W12" i="2"/>
  <c r="W24" i="2"/>
  <c r="W27" i="2"/>
  <c r="W51" i="2"/>
  <c r="W60" i="2"/>
  <c r="W2" i="2"/>
  <c r="W35" i="2"/>
  <c r="W14" i="2"/>
  <c r="W21" i="2"/>
  <c r="W18" i="2"/>
  <c r="W17" i="2"/>
  <c r="W11" i="2"/>
  <c r="W23" i="2"/>
  <c r="W7" i="2"/>
  <c r="W47" i="2"/>
  <c r="W48" i="2"/>
  <c r="W43" i="2"/>
  <c r="W52" i="2"/>
  <c r="W31" i="2"/>
  <c r="W55" i="2"/>
  <c r="W10" i="2"/>
  <c r="W56" i="2"/>
  <c r="W42" i="2"/>
  <c r="W28" i="2"/>
  <c r="W59" i="2"/>
  <c r="W22" i="2"/>
  <c r="W40" i="2"/>
  <c r="W53" i="2"/>
  <c r="W4" i="2"/>
  <c r="W46" i="2"/>
  <c r="W37" i="2"/>
  <c r="W54" i="2"/>
  <c r="W13" i="2"/>
  <c r="W36" i="2"/>
  <c r="W15" i="2"/>
  <c r="W8" i="2"/>
  <c r="W49" i="2"/>
  <c r="W30" i="2"/>
  <c r="W25" i="2"/>
  <c r="W6" i="2"/>
  <c r="W61" i="2"/>
  <c r="X61" i="2"/>
  <c r="Y61" i="2"/>
  <c r="Z61" i="2"/>
  <c r="AA61" i="2"/>
  <c r="AB61" i="2"/>
  <c r="AC61" i="2"/>
  <c r="AD61" i="2"/>
  <c r="AE61" i="2"/>
  <c r="AG3" i="2"/>
  <c r="AG39" i="2"/>
  <c r="AG19" i="2"/>
  <c r="AG45" i="2"/>
  <c r="AG41" i="2"/>
  <c r="AG44" i="2"/>
  <c r="AG16" i="2"/>
  <c r="AG32" i="2"/>
  <c r="AG20" i="2"/>
  <c r="AG34" i="2"/>
  <c r="AG57" i="2"/>
  <c r="AG38" i="2"/>
  <c r="AG29" i="2"/>
  <c r="AG26" i="2"/>
  <c r="AG58" i="2"/>
  <c r="AG33" i="2"/>
  <c r="AG5" i="2"/>
  <c r="AG9" i="2"/>
  <c r="AG50" i="2"/>
  <c r="AG12" i="2"/>
  <c r="AG24" i="2"/>
  <c r="AG27" i="2"/>
  <c r="AG51" i="2"/>
  <c r="AG60" i="2"/>
  <c r="AG2" i="2"/>
  <c r="AG35" i="2"/>
  <c r="AG14" i="2"/>
  <c r="AG21" i="2"/>
  <c r="AG18" i="2"/>
  <c r="AG17" i="2"/>
  <c r="AG11" i="2"/>
  <c r="AG23" i="2"/>
  <c r="AG7" i="2"/>
  <c r="AG47" i="2"/>
  <c r="AG48" i="2"/>
  <c r="AG43" i="2"/>
  <c r="AG52" i="2"/>
  <c r="AG31" i="2"/>
  <c r="AG55" i="2"/>
  <c r="AG10" i="2"/>
  <c r="AG56" i="2"/>
  <c r="AG42" i="2"/>
  <c r="AG28" i="2"/>
  <c r="AG59" i="2"/>
  <c r="AG22" i="2"/>
  <c r="AG40" i="2"/>
  <c r="AG53" i="2"/>
  <c r="AG4" i="2"/>
  <c r="AG46" i="2"/>
  <c r="AG37" i="2"/>
  <c r="AG54" i="2"/>
  <c r="AG13" i="2"/>
  <c r="AG36" i="2"/>
  <c r="AG15" i="2"/>
  <c r="AG8" i="2"/>
  <c r="AG49" i="2"/>
  <c r="AG30" i="2"/>
  <c r="AG25" i="2"/>
  <c r="AG6" i="2"/>
  <c r="AG61" i="2"/>
  <c r="AH3" i="2"/>
  <c r="AH39" i="2"/>
  <c r="AH19" i="2"/>
  <c r="AH45" i="2"/>
  <c r="AH41" i="2"/>
  <c r="AH44" i="2"/>
  <c r="AH16" i="2"/>
  <c r="AH32" i="2"/>
  <c r="AH20" i="2"/>
  <c r="AH34" i="2"/>
  <c r="AH57" i="2"/>
  <c r="AH38" i="2"/>
  <c r="AH29" i="2"/>
  <c r="AH26" i="2"/>
  <c r="AH58" i="2"/>
  <c r="AH33" i="2"/>
  <c r="AH5" i="2"/>
  <c r="AH9" i="2"/>
  <c r="AH50" i="2"/>
  <c r="AH12" i="2"/>
  <c r="AH24" i="2"/>
  <c r="AH27" i="2"/>
  <c r="AH51" i="2"/>
  <c r="AH60" i="2"/>
  <c r="AH2" i="2"/>
  <c r="AH35" i="2"/>
  <c r="AH14" i="2"/>
  <c r="AH21" i="2"/>
  <c r="AH18" i="2"/>
  <c r="AH17" i="2"/>
  <c r="AH11" i="2"/>
  <c r="AH23" i="2"/>
  <c r="AH7" i="2"/>
  <c r="AH47" i="2"/>
  <c r="AH48" i="2"/>
  <c r="AH43" i="2"/>
  <c r="AH52" i="2"/>
  <c r="AH31" i="2"/>
  <c r="AH55" i="2"/>
  <c r="AH10" i="2"/>
  <c r="AH56" i="2"/>
  <c r="AH42" i="2"/>
  <c r="AH28" i="2"/>
  <c r="AH59" i="2"/>
  <c r="AH22" i="2"/>
  <c r="AH40" i="2"/>
  <c r="AH53" i="2"/>
  <c r="AH4" i="2"/>
  <c r="AH46" i="2"/>
  <c r="AH37" i="2"/>
  <c r="AH54" i="2"/>
  <c r="AH13" i="2"/>
  <c r="AH36" i="2"/>
  <c r="AH15" i="2"/>
  <c r="AH8" i="2"/>
  <c r="AH49" i="2"/>
  <c r="AH30" i="2"/>
  <c r="AH25" i="2"/>
  <c r="AH6" i="2"/>
  <c r="AH61" i="2"/>
  <c r="AI3" i="2"/>
  <c r="AI39" i="2"/>
  <c r="AI19" i="2"/>
  <c r="AI45" i="2"/>
  <c r="AI41" i="2"/>
  <c r="AI44" i="2"/>
  <c r="AI16" i="2"/>
  <c r="AI32" i="2"/>
  <c r="AI20" i="2"/>
  <c r="AI34" i="2"/>
  <c r="AI57" i="2"/>
  <c r="AI38" i="2"/>
  <c r="AI29" i="2"/>
  <c r="AI26" i="2"/>
  <c r="AI58" i="2"/>
  <c r="AI33" i="2"/>
  <c r="AI5" i="2"/>
  <c r="AI9" i="2"/>
  <c r="AI50" i="2"/>
  <c r="AI12" i="2"/>
  <c r="AI24" i="2"/>
  <c r="AI27" i="2"/>
  <c r="AI51" i="2"/>
  <c r="AI60" i="2"/>
  <c r="AI2" i="2"/>
  <c r="AI35" i="2"/>
  <c r="AI14" i="2"/>
  <c r="AI21" i="2"/>
  <c r="AI18" i="2"/>
  <c r="AI17" i="2"/>
  <c r="AI11" i="2"/>
  <c r="AI23" i="2"/>
  <c r="AI7" i="2"/>
  <c r="AI47" i="2"/>
  <c r="AI48" i="2"/>
  <c r="AI43" i="2"/>
  <c r="AI52" i="2"/>
  <c r="AI31" i="2"/>
  <c r="AI55" i="2"/>
  <c r="AI10" i="2"/>
  <c r="AI56" i="2"/>
  <c r="AI42" i="2"/>
  <c r="AI28" i="2"/>
  <c r="AI59" i="2"/>
  <c r="AI22" i="2"/>
  <c r="AI40" i="2"/>
  <c r="AI53" i="2"/>
  <c r="AI4" i="2"/>
  <c r="AI46" i="2"/>
  <c r="AI37" i="2"/>
  <c r="AI54" i="2"/>
  <c r="AI13" i="2"/>
  <c r="AI36" i="2"/>
  <c r="AI15" i="2"/>
  <c r="AI8" i="2"/>
  <c r="AI49" i="2"/>
  <c r="AI30" i="2"/>
  <c r="AI25" i="2"/>
  <c r="AI6" i="2"/>
  <c r="AI61" i="2"/>
  <c r="AJ3" i="2"/>
  <c r="AJ39" i="2"/>
  <c r="AJ19" i="2"/>
  <c r="AJ45" i="2"/>
  <c r="AJ41" i="2"/>
  <c r="AJ44" i="2"/>
  <c r="AJ16" i="2"/>
  <c r="AJ32" i="2"/>
  <c r="AJ20" i="2"/>
  <c r="AJ34" i="2"/>
  <c r="AJ57" i="2"/>
  <c r="AJ38" i="2"/>
  <c r="AJ29" i="2"/>
  <c r="AJ26" i="2"/>
  <c r="AJ58" i="2"/>
  <c r="AJ33" i="2"/>
  <c r="AJ5" i="2"/>
  <c r="AJ9" i="2"/>
  <c r="AJ50" i="2"/>
  <c r="AJ12" i="2"/>
  <c r="AJ24" i="2"/>
  <c r="AJ27" i="2"/>
  <c r="AJ51" i="2"/>
  <c r="AJ60" i="2"/>
  <c r="AJ2" i="2"/>
  <c r="AJ35" i="2"/>
  <c r="AJ14" i="2"/>
  <c r="AJ21" i="2"/>
  <c r="AJ18" i="2"/>
  <c r="AJ17" i="2"/>
  <c r="AJ11" i="2"/>
  <c r="AJ23" i="2"/>
  <c r="AJ7" i="2"/>
  <c r="AJ47" i="2"/>
  <c r="AJ48" i="2"/>
  <c r="AJ43" i="2"/>
  <c r="AJ52" i="2"/>
  <c r="AJ31" i="2"/>
  <c r="AJ55" i="2"/>
  <c r="AJ10" i="2"/>
  <c r="AJ56" i="2"/>
  <c r="AJ42" i="2"/>
  <c r="AJ28" i="2"/>
  <c r="AJ59" i="2"/>
  <c r="AJ22" i="2"/>
  <c r="AJ40" i="2"/>
  <c r="AJ53" i="2"/>
  <c r="AJ4" i="2"/>
  <c r="AJ46" i="2"/>
  <c r="AJ37" i="2"/>
  <c r="AJ54" i="2"/>
  <c r="AJ13" i="2"/>
  <c r="AJ36" i="2"/>
  <c r="AJ15" i="2"/>
  <c r="AJ8" i="2"/>
  <c r="AJ49" i="2"/>
  <c r="AJ30" i="2"/>
  <c r="AJ25" i="2"/>
  <c r="AJ6" i="2"/>
  <c r="AJ61" i="2"/>
  <c r="AK3" i="2"/>
  <c r="AK39" i="2"/>
  <c r="AK19" i="2"/>
  <c r="AK45" i="2"/>
  <c r="AK41" i="2"/>
  <c r="AK44" i="2"/>
  <c r="AK16" i="2"/>
  <c r="AK32" i="2"/>
  <c r="AK20" i="2"/>
  <c r="AK34" i="2"/>
  <c r="AK57" i="2"/>
  <c r="AK38" i="2"/>
  <c r="AK29" i="2"/>
  <c r="AK26" i="2"/>
  <c r="AK58" i="2"/>
  <c r="AK33" i="2"/>
  <c r="AK5" i="2"/>
  <c r="AK9" i="2"/>
  <c r="AK50" i="2"/>
  <c r="AK12" i="2"/>
  <c r="AK24" i="2"/>
  <c r="AK27" i="2"/>
  <c r="AK51" i="2"/>
  <c r="AK60" i="2"/>
  <c r="AK2" i="2"/>
  <c r="AK35" i="2"/>
  <c r="AK14" i="2"/>
  <c r="AK21" i="2"/>
  <c r="AK18" i="2"/>
  <c r="AK17" i="2"/>
  <c r="AK11" i="2"/>
  <c r="AK23" i="2"/>
  <c r="AK7" i="2"/>
  <c r="AK47" i="2"/>
  <c r="AK48" i="2"/>
  <c r="AK43" i="2"/>
  <c r="AK52" i="2"/>
  <c r="AK31" i="2"/>
  <c r="AK55" i="2"/>
  <c r="AK10" i="2"/>
  <c r="AK56" i="2"/>
  <c r="AK42" i="2"/>
  <c r="AK28" i="2"/>
  <c r="AK59" i="2"/>
  <c r="AK22" i="2"/>
  <c r="AK40" i="2"/>
  <c r="AK53" i="2"/>
  <c r="AK4" i="2"/>
  <c r="AK46" i="2"/>
  <c r="AK37" i="2"/>
  <c r="AK54" i="2"/>
  <c r="AK13" i="2"/>
  <c r="AK36" i="2"/>
  <c r="AK15" i="2"/>
  <c r="AK8" i="2"/>
  <c r="AK49" i="2"/>
  <c r="AK30" i="2"/>
  <c r="AK25" i="2"/>
  <c r="AK6" i="2"/>
  <c r="AK61" i="2"/>
  <c r="AL3" i="2"/>
  <c r="AL39" i="2"/>
  <c r="AL19" i="2"/>
  <c r="AL45" i="2"/>
  <c r="AL41" i="2"/>
  <c r="AL44" i="2"/>
  <c r="AL16" i="2"/>
  <c r="AL32" i="2"/>
  <c r="AL20" i="2"/>
  <c r="AL34" i="2"/>
  <c r="AL57" i="2"/>
  <c r="AL38" i="2"/>
  <c r="AL29" i="2"/>
  <c r="AL26" i="2"/>
  <c r="AL58" i="2"/>
  <c r="AL33" i="2"/>
  <c r="AL5" i="2"/>
  <c r="AL9" i="2"/>
  <c r="AL50" i="2"/>
  <c r="AL12" i="2"/>
  <c r="AL24" i="2"/>
  <c r="AL27" i="2"/>
  <c r="AL51" i="2"/>
  <c r="AL60" i="2"/>
  <c r="AL2" i="2"/>
  <c r="AL35" i="2"/>
  <c r="AL14" i="2"/>
  <c r="AL21" i="2"/>
  <c r="AL18" i="2"/>
  <c r="AL17" i="2"/>
  <c r="AL11" i="2"/>
  <c r="AL23" i="2"/>
  <c r="AL7" i="2"/>
  <c r="AL47" i="2"/>
  <c r="AL48" i="2"/>
  <c r="AL43" i="2"/>
  <c r="AL52" i="2"/>
  <c r="AL31" i="2"/>
  <c r="AL55" i="2"/>
  <c r="AL10" i="2"/>
  <c r="AL56" i="2"/>
  <c r="AL42" i="2"/>
  <c r="AL28" i="2"/>
  <c r="AL59" i="2"/>
  <c r="AL22" i="2"/>
  <c r="AL40" i="2"/>
  <c r="AL53" i="2"/>
  <c r="AL4" i="2"/>
  <c r="AL46" i="2"/>
  <c r="AL37" i="2"/>
  <c r="AL54" i="2"/>
  <c r="AL13" i="2"/>
  <c r="AL36" i="2"/>
  <c r="AL15" i="2"/>
  <c r="AL8" i="2"/>
  <c r="AL49" i="2"/>
  <c r="AL30" i="2"/>
  <c r="AL25" i="2"/>
  <c r="AL6" i="2"/>
  <c r="AL61" i="2"/>
  <c r="AM3" i="2"/>
  <c r="AM39" i="2"/>
  <c r="AM19" i="2"/>
  <c r="AM45" i="2"/>
  <c r="AM41" i="2"/>
  <c r="AM44" i="2"/>
  <c r="AM16" i="2"/>
  <c r="AM32" i="2"/>
  <c r="AM20" i="2"/>
  <c r="AM34" i="2"/>
  <c r="AM57" i="2"/>
  <c r="AM38" i="2"/>
  <c r="AM29" i="2"/>
  <c r="AM26" i="2"/>
  <c r="AM58" i="2"/>
  <c r="AM33" i="2"/>
  <c r="AM5" i="2"/>
  <c r="AM9" i="2"/>
  <c r="AM50" i="2"/>
  <c r="AM12" i="2"/>
  <c r="AM24" i="2"/>
  <c r="AM27" i="2"/>
  <c r="AM51" i="2"/>
  <c r="AM60" i="2"/>
  <c r="AM2" i="2"/>
  <c r="AM35" i="2"/>
  <c r="AM14" i="2"/>
  <c r="AM21" i="2"/>
  <c r="AM18" i="2"/>
  <c r="AM17" i="2"/>
  <c r="AM11" i="2"/>
  <c r="AM23" i="2"/>
  <c r="AM7" i="2"/>
  <c r="AM47" i="2"/>
  <c r="AM48" i="2"/>
  <c r="AM43" i="2"/>
  <c r="AM52" i="2"/>
  <c r="AM31" i="2"/>
  <c r="AM55" i="2"/>
  <c r="AM10" i="2"/>
  <c r="AM56" i="2"/>
  <c r="AM42" i="2"/>
  <c r="AM28" i="2"/>
  <c r="AM59" i="2"/>
  <c r="AM22" i="2"/>
  <c r="AM40" i="2"/>
  <c r="AM53" i="2"/>
  <c r="AM4" i="2"/>
  <c r="AM46" i="2"/>
  <c r="AM37" i="2"/>
  <c r="AM54" i="2"/>
  <c r="AM13" i="2"/>
  <c r="AM36" i="2"/>
  <c r="AM15" i="2"/>
  <c r="AM8" i="2"/>
  <c r="AM49" i="2"/>
  <c r="AM30" i="2"/>
  <c r="AM25" i="2"/>
  <c r="AM6" i="2"/>
  <c r="AM61" i="2"/>
  <c r="AN3" i="2"/>
  <c r="AN39" i="2"/>
  <c r="AN19" i="2"/>
  <c r="AN45" i="2"/>
  <c r="AN41" i="2"/>
  <c r="AN44" i="2"/>
  <c r="AN16" i="2"/>
  <c r="AN32" i="2"/>
  <c r="AN20" i="2"/>
  <c r="AN34" i="2"/>
  <c r="AN57" i="2"/>
  <c r="AN38" i="2"/>
  <c r="AN29" i="2"/>
  <c r="AN26" i="2"/>
  <c r="AN58" i="2"/>
  <c r="AN33" i="2"/>
  <c r="AN5" i="2"/>
  <c r="AN9" i="2"/>
  <c r="AN50" i="2"/>
  <c r="AN12" i="2"/>
  <c r="AN24" i="2"/>
  <c r="AN27" i="2"/>
  <c r="AN51" i="2"/>
  <c r="AN60" i="2"/>
  <c r="AN2" i="2"/>
  <c r="AN35" i="2"/>
  <c r="AN14" i="2"/>
  <c r="AN21" i="2"/>
  <c r="AN18" i="2"/>
  <c r="AN17" i="2"/>
  <c r="AN11" i="2"/>
  <c r="AN23" i="2"/>
  <c r="AN7" i="2"/>
  <c r="AN47" i="2"/>
  <c r="AN48" i="2"/>
  <c r="AN43" i="2"/>
  <c r="AN52" i="2"/>
  <c r="AN31" i="2"/>
  <c r="AN55" i="2"/>
  <c r="AN10" i="2"/>
  <c r="AN56" i="2"/>
  <c r="AN42" i="2"/>
  <c r="AN28" i="2"/>
  <c r="AN59" i="2"/>
  <c r="AN22" i="2"/>
  <c r="AN40" i="2"/>
  <c r="AN53" i="2"/>
  <c r="AN4" i="2"/>
  <c r="AN46" i="2"/>
  <c r="AN37" i="2"/>
  <c r="AN54" i="2"/>
  <c r="AN13" i="2"/>
  <c r="AN36" i="2"/>
  <c r="AN15" i="2"/>
  <c r="AN8" i="2"/>
  <c r="AN49" i="2"/>
  <c r="AN30" i="2"/>
  <c r="AN25" i="2"/>
  <c r="AN6" i="2"/>
  <c r="AN61" i="2"/>
  <c r="AO44" i="2"/>
  <c r="AQ44" i="2" s="1"/>
  <c r="AR44" i="2" s="1"/>
  <c r="AS44" i="2" s="1"/>
  <c r="AT44" i="2" s="1"/>
  <c r="AU44" i="2" s="1"/>
  <c r="AV44" i="2" s="1"/>
  <c r="AW44" i="2" s="1"/>
  <c r="AX44" i="2" s="1"/>
  <c r="AY44" i="2" s="1"/>
  <c r="AO16" i="2"/>
  <c r="AO32" i="2"/>
  <c r="AQ32" i="2" s="1"/>
  <c r="AR32" i="2" s="1"/>
  <c r="AS32" i="2" s="1"/>
  <c r="AT32" i="2" s="1"/>
  <c r="AU32" i="2" s="1"/>
  <c r="AO20" i="2"/>
  <c r="AO34" i="2"/>
  <c r="AQ34" i="2" s="1"/>
  <c r="AR34" i="2" s="1"/>
  <c r="AS34" i="2" s="1"/>
  <c r="AO57" i="2"/>
  <c r="AO38" i="2"/>
  <c r="AQ38" i="2" s="1"/>
  <c r="AR38" i="2" s="1"/>
  <c r="AS38" i="2" s="1"/>
  <c r="AT38" i="2" s="1"/>
  <c r="AU38" i="2" s="1"/>
  <c r="AV38" i="2" s="1"/>
  <c r="AW38" i="2" s="1"/>
  <c r="AX38" i="2" s="1"/>
  <c r="AY38" i="2" s="1"/>
  <c r="AO29" i="2"/>
  <c r="AQ29" i="2" s="1"/>
  <c r="AR29" i="2" s="1"/>
  <c r="AS29" i="2" s="1"/>
  <c r="AT29" i="2" s="1"/>
  <c r="AU29" i="2" s="1"/>
  <c r="AV29" i="2" s="1"/>
  <c r="AW29" i="2" s="1"/>
  <c r="AX29" i="2" s="1"/>
  <c r="AY29" i="2" s="1"/>
  <c r="AO26" i="2"/>
  <c r="AQ26" i="2" s="1"/>
  <c r="AR26" i="2" s="1"/>
  <c r="AS26" i="2" s="1"/>
  <c r="AT26" i="2" s="1"/>
  <c r="AU26" i="2" s="1"/>
  <c r="AV26" i="2" s="1"/>
  <c r="AW26" i="2" s="1"/>
  <c r="AX26" i="2" s="1"/>
  <c r="AY26" i="2" s="1"/>
  <c r="AO58" i="2"/>
  <c r="AO33" i="2"/>
  <c r="AQ33" i="2" s="1"/>
  <c r="AR33" i="2" s="1"/>
  <c r="AS33" i="2" s="1"/>
  <c r="AT33" i="2" s="1"/>
  <c r="AU33" i="2" s="1"/>
  <c r="AV33" i="2" s="1"/>
  <c r="AW33" i="2" s="1"/>
  <c r="AX33" i="2" s="1"/>
  <c r="AY33" i="2" s="1"/>
  <c r="AO5" i="2"/>
  <c r="AQ5" i="2" s="1"/>
  <c r="AR5" i="2" s="1"/>
  <c r="AS5" i="2" s="1"/>
  <c r="AT5" i="2" s="1"/>
  <c r="AU5" i="2" s="1"/>
  <c r="AV5" i="2" s="1"/>
  <c r="AW5" i="2" s="1"/>
  <c r="AX5" i="2" s="1"/>
  <c r="AY5" i="2" s="1"/>
  <c r="AO9" i="2"/>
  <c r="AQ9" i="2" s="1"/>
  <c r="AR9" i="2" s="1"/>
  <c r="AO50" i="2"/>
  <c r="AQ50" i="2" s="1"/>
  <c r="AR50" i="2" s="1"/>
  <c r="AS50" i="2" s="1"/>
  <c r="AT50" i="2" s="1"/>
  <c r="AU50" i="2" s="1"/>
  <c r="AV50" i="2" s="1"/>
  <c r="AW50" i="2" s="1"/>
  <c r="AX50" i="2" s="1"/>
  <c r="AY50" i="2" s="1"/>
  <c r="AO12" i="2"/>
  <c r="AQ12" i="2" s="1"/>
  <c r="AR12" i="2" s="1"/>
  <c r="AS12" i="2" s="1"/>
  <c r="AT12" i="2" s="1"/>
  <c r="AU12" i="2" s="1"/>
  <c r="AV12" i="2" s="1"/>
  <c r="AW12" i="2" s="1"/>
  <c r="AX12" i="2" s="1"/>
  <c r="AY12" i="2" s="1"/>
  <c r="AO24" i="2"/>
  <c r="AQ24" i="2" s="1"/>
  <c r="AR24" i="2" s="1"/>
  <c r="AS24" i="2" s="1"/>
  <c r="AT24" i="2" s="1"/>
  <c r="AU24" i="2" s="1"/>
  <c r="AV24" i="2" s="1"/>
  <c r="AW24" i="2" s="1"/>
  <c r="AX24" i="2" s="1"/>
  <c r="AY24" i="2" s="1"/>
  <c r="AO27" i="2"/>
  <c r="AQ27" i="2" s="1"/>
  <c r="AR27" i="2" s="1"/>
  <c r="AS27" i="2" s="1"/>
  <c r="AT27" i="2" s="1"/>
  <c r="AU27" i="2" s="1"/>
  <c r="AV27" i="2" s="1"/>
  <c r="AW27" i="2" s="1"/>
  <c r="AX27" i="2" s="1"/>
  <c r="AY27" i="2" s="1"/>
  <c r="AO51" i="2"/>
  <c r="AQ51" i="2" s="1"/>
  <c r="AR51" i="2" s="1"/>
  <c r="AO60" i="2"/>
  <c r="AO2" i="2"/>
  <c r="AQ2" i="2" s="1"/>
  <c r="AR2" i="2" s="1"/>
  <c r="AS2" i="2" s="1"/>
  <c r="AT2" i="2" s="1"/>
  <c r="AU2" i="2" s="1"/>
  <c r="AV2" i="2" s="1"/>
  <c r="AW2" i="2" s="1"/>
  <c r="AX2" i="2" s="1"/>
  <c r="AY2" i="2" s="1"/>
  <c r="AO35" i="2"/>
  <c r="AQ35" i="2" s="1"/>
  <c r="AR35" i="2" s="1"/>
  <c r="AS35" i="2" s="1"/>
  <c r="AT35" i="2" s="1"/>
  <c r="AU35" i="2" s="1"/>
  <c r="AV35" i="2" s="1"/>
  <c r="AW35" i="2" s="1"/>
  <c r="AX35" i="2" s="1"/>
  <c r="AY35" i="2" s="1"/>
  <c r="AO14" i="2"/>
  <c r="AQ14" i="2" s="1"/>
  <c r="AR14" i="2" s="1"/>
  <c r="AS14" i="2" s="1"/>
  <c r="AT14" i="2" s="1"/>
  <c r="AU14" i="2" s="1"/>
  <c r="AV14" i="2" s="1"/>
  <c r="AW14" i="2" s="1"/>
  <c r="AX14" i="2" s="1"/>
  <c r="AY14" i="2" s="1"/>
  <c r="AO21" i="2"/>
  <c r="AQ21" i="2" s="1"/>
  <c r="AR21" i="2" s="1"/>
  <c r="AS21" i="2" s="1"/>
  <c r="AT21" i="2" s="1"/>
  <c r="AU21" i="2" s="1"/>
  <c r="AV21" i="2" s="1"/>
  <c r="AW21" i="2" s="1"/>
  <c r="AX21" i="2" s="1"/>
  <c r="AY21" i="2" s="1"/>
  <c r="AO18" i="2"/>
  <c r="AQ18" i="2" s="1"/>
  <c r="AR18" i="2" s="1"/>
  <c r="AS18" i="2" s="1"/>
  <c r="AT18" i="2" s="1"/>
  <c r="AU18" i="2" s="1"/>
  <c r="AV18" i="2" s="1"/>
  <c r="AW18" i="2" s="1"/>
  <c r="AX18" i="2" s="1"/>
  <c r="AY18" i="2" s="1"/>
  <c r="AO17" i="2"/>
  <c r="AQ17" i="2" s="1"/>
  <c r="AR17" i="2" s="1"/>
  <c r="AS17" i="2" s="1"/>
  <c r="AT17" i="2" s="1"/>
  <c r="AU17" i="2" s="1"/>
  <c r="AV17" i="2" s="1"/>
  <c r="AW17" i="2" s="1"/>
  <c r="AX17" i="2" s="1"/>
  <c r="AY17" i="2" s="1"/>
  <c r="AO11" i="2"/>
  <c r="AQ11" i="2" s="1"/>
  <c r="AO23" i="2"/>
  <c r="AQ23" i="2" s="1"/>
  <c r="AR23" i="2" s="1"/>
  <c r="AS23" i="2" s="1"/>
  <c r="AT23" i="2" s="1"/>
  <c r="AU23" i="2" s="1"/>
  <c r="AV23" i="2" s="1"/>
  <c r="AW23" i="2" s="1"/>
  <c r="AX23" i="2" s="1"/>
  <c r="AY23" i="2" s="1"/>
  <c r="AO7" i="2"/>
  <c r="AQ7" i="2" s="1"/>
  <c r="AR7" i="2" s="1"/>
  <c r="AO47" i="2"/>
  <c r="AQ47" i="2" s="1"/>
  <c r="AR47" i="2" s="1"/>
  <c r="AS47" i="2" s="1"/>
  <c r="AT47" i="2" s="1"/>
  <c r="AU47" i="2" s="1"/>
  <c r="AV47" i="2" s="1"/>
  <c r="AW47" i="2" s="1"/>
  <c r="AX47" i="2" s="1"/>
  <c r="AY47" i="2" s="1"/>
  <c r="AO48" i="2"/>
  <c r="AQ48" i="2" s="1"/>
  <c r="AR48" i="2" s="1"/>
  <c r="AS48" i="2" s="1"/>
  <c r="AT48" i="2" s="1"/>
  <c r="AU48" i="2" s="1"/>
  <c r="AV48" i="2" s="1"/>
  <c r="AW48" i="2" s="1"/>
  <c r="AX48" i="2" s="1"/>
  <c r="AY48" i="2" s="1"/>
  <c r="AO43" i="2"/>
  <c r="AQ43" i="2" s="1"/>
  <c r="AR43" i="2" s="1"/>
  <c r="AS43" i="2" s="1"/>
  <c r="AT43" i="2" s="1"/>
  <c r="AU43" i="2" s="1"/>
  <c r="AV43" i="2" s="1"/>
  <c r="AW43" i="2" s="1"/>
  <c r="AX43" i="2" s="1"/>
  <c r="AY43" i="2" s="1"/>
  <c r="AO52" i="2"/>
  <c r="AQ52" i="2" s="1"/>
  <c r="AR52" i="2" s="1"/>
  <c r="AS52" i="2" s="1"/>
  <c r="AT52" i="2" s="1"/>
  <c r="AU52" i="2" s="1"/>
  <c r="AV52" i="2" s="1"/>
  <c r="AW52" i="2" s="1"/>
  <c r="AX52" i="2" s="1"/>
  <c r="AY52" i="2" s="1"/>
  <c r="AO31" i="2"/>
  <c r="AQ31" i="2" s="1"/>
  <c r="AO55" i="2"/>
  <c r="AQ55" i="2" s="1"/>
  <c r="AR55" i="2" s="1"/>
  <c r="AS55" i="2" s="1"/>
  <c r="AT55" i="2" s="1"/>
  <c r="AU55" i="2" s="1"/>
  <c r="AV55" i="2" s="1"/>
  <c r="AW55" i="2" s="1"/>
  <c r="AX55" i="2" s="1"/>
  <c r="AY55" i="2" s="1"/>
  <c r="AO10" i="2"/>
  <c r="AQ10" i="2" s="1"/>
  <c r="AO56" i="2"/>
  <c r="AQ56" i="2" s="1"/>
  <c r="AR56" i="2" s="1"/>
  <c r="AS56" i="2" s="1"/>
  <c r="AT56" i="2" s="1"/>
  <c r="AU56" i="2" s="1"/>
  <c r="AV56" i="2" s="1"/>
  <c r="AW56" i="2" s="1"/>
  <c r="AX56" i="2" s="1"/>
  <c r="AY56" i="2" s="1"/>
  <c r="AO42" i="2"/>
  <c r="AQ42" i="2" s="1"/>
  <c r="AR42" i="2" s="1"/>
  <c r="AS42" i="2" s="1"/>
  <c r="AT42" i="2" s="1"/>
  <c r="AU42" i="2" s="1"/>
  <c r="AV42" i="2" s="1"/>
  <c r="AW42" i="2" s="1"/>
  <c r="AX42" i="2" s="1"/>
  <c r="AY42" i="2" s="1"/>
  <c r="AO28" i="2"/>
  <c r="AQ28" i="2" s="1"/>
  <c r="AR28" i="2" s="1"/>
  <c r="AS28" i="2" s="1"/>
  <c r="AT28" i="2" s="1"/>
  <c r="AU28" i="2" s="1"/>
  <c r="AV28" i="2" s="1"/>
  <c r="AW28" i="2" s="1"/>
  <c r="AX28" i="2" s="1"/>
  <c r="AY28" i="2" s="1"/>
  <c r="AO59" i="2"/>
  <c r="AQ59" i="2" s="1"/>
  <c r="AR59" i="2" s="1"/>
  <c r="AS59" i="2" s="1"/>
  <c r="AT59" i="2" s="1"/>
  <c r="AU59" i="2" s="1"/>
  <c r="AV59" i="2" s="1"/>
  <c r="AW59" i="2" s="1"/>
  <c r="AX59" i="2" s="1"/>
  <c r="AY59" i="2" s="1"/>
  <c r="AO22" i="2"/>
  <c r="AO40" i="2"/>
  <c r="AQ40" i="2" s="1"/>
  <c r="AR40" i="2" s="1"/>
  <c r="AS40" i="2" s="1"/>
  <c r="AO53" i="2"/>
  <c r="AQ53" i="2" s="1"/>
  <c r="AR53" i="2" s="1"/>
  <c r="AS53" i="2" s="1"/>
  <c r="AT53" i="2" s="1"/>
  <c r="AU53" i="2" s="1"/>
  <c r="AV53" i="2" s="1"/>
  <c r="AW53" i="2" s="1"/>
  <c r="AX53" i="2" s="1"/>
  <c r="AY53" i="2" s="1"/>
  <c r="AO4" i="2"/>
  <c r="AQ4" i="2" s="1"/>
  <c r="AR4" i="2" s="1"/>
  <c r="AS4" i="2" s="1"/>
  <c r="AT4" i="2" s="1"/>
  <c r="AU4" i="2" s="1"/>
  <c r="AV4" i="2" s="1"/>
  <c r="AW4" i="2" s="1"/>
  <c r="AX4" i="2" s="1"/>
  <c r="AY4" i="2" s="1"/>
  <c r="AO46" i="2"/>
  <c r="AQ46" i="2" s="1"/>
  <c r="AR46" i="2" s="1"/>
  <c r="AS46" i="2" s="1"/>
  <c r="AT46" i="2" s="1"/>
  <c r="AU46" i="2" s="1"/>
  <c r="AV46" i="2" s="1"/>
  <c r="AW46" i="2" s="1"/>
  <c r="AX46" i="2" s="1"/>
  <c r="AY46" i="2" s="1"/>
  <c r="AO37" i="2"/>
  <c r="AQ37" i="2" s="1"/>
  <c r="AR37" i="2" s="1"/>
  <c r="AS37" i="2" s="1"/>
  <c r="AT37" i="2" s="1"/>
  <c r="AU37" i="2" s="1"/>
  <c r="AV37" i="2" s="1"/>
  <c r="AW37" i="2" s="1"/>
  <c r="AX37" i="2" s="1"/>
  <c r="AY37" i="2" s="1"/>
  <c r="AO54" i="2"/>
  <c r="AQ54" i="2" s="1"/>
  <c r="AR54" i="2" s="1"/>
  <c r="AS54" i="2" s="1"/>
  <c r="AT54" i="2" s="1"/>
  <c r="AU54" i="2" s="1"/>
  <c r="AV54" i="2" s="1"/>
  <c r="AW54" i="2" s="1"/>
  <c r="AX54" i="2" s="1"/>
  <c r="AY54" i="2" s="1"/>
  <c r="AO13" i="2"/>
  <c r="AQ13" i="2" s="1"/>
  <c r="AO36" i="2"/>
  <c r="AQ36" i="2" s="1"/>
  <c r="AR36" i="2" s="1"/>
  <c r="AS36" i="2" s="1"/>
  <c r="AT36" i="2" s="1"/>
  <c r="AU36" i="2" s="1"/>
  <c r="AV36" i="2" s="1"/>
  <c r="AW36" i="2" s="1"/>
  <c r="AX36" i="2" s="1"/>
  <c r="AY36" i="2" s="1"/>
  <c r="AO15" i="2"/>
  <c r="AO8" i="2"/>
  <c r="AQ8" i="2" s="1"/>
  <c r="AR8" i="2" s="1"/>
  <c r="AS8" i="2" s="1"/>
  <c r="AT8" i="2" s="1"/>
  <c r="AU8" i="2" s="1"/>
  <c r="AV8" i="2" s="1"/>
  <c r="AW8" i="2" s="1"/>
  <c r="AX8" i="2" s="1"/>
  <c r="AY8" i="2" s="1"/>
  <c r="AO49" i="2"/>
  <c r="AO30" i="2"/>
  <c r="AQ30" i="2" s="1"/>
  <c r="AR30" i="2" s="1"/>
  <c r="AS30" i="2" s="1"/>
  <c r="AT30" i="2" s="1"/>
  <c r="AU30" i="2" s="1"/>
  <c r="AV30" i="2" s="1"/>
  <c r="AW30" i="2" s="1"/>
  <c r="AX30" i="2" s="1"/>
  <c r="AY30" i="2" s="1"/>
  <c r="AO25" i="2"/>
  <c r="AO6" i="2"/>
  <c r="AQ6" i="2" s="1"/>
  <c r="AR6" i="2" s="1"/>
  <c r="AS6" i="2" s="1"/>
  <c r="AT6" i="2" s="1"/>
  <c r="AU6" i="2" s="1"/>
  <c r="AV6" i="2" s="1"/>
  <c r="AW6" i="2" s="1"/>
  <c r="AX6" i="2" s="1"/>
  <c r="AY6" i="2" s="1"/>
  <c r="AO39" i="2"/>
  <c r="AQ39" i="2" s="1"/>
  <c r="AR39" i="2" s="1"/>
  <c r="AS39" i="2" s="1"/>
  <c r="AT39" i="2" s="1"/>
  <c r="AU39" i="2" s="1"/>
  <c r="AO19" i="2"/>
  <c r="AQ19" i="2" s="1"/>
  <c r="AR19" i="2" s="1"/>
  <c r="AS19" i="2" s="1"/>
  <c r="AT19" i="2" s="1"/>
  <c r="AU19" i="2" s="1"/>
  <c r="AV19" i="2" s="1"/>
  <c r="AW19" i="2" s="1"/>
  <c r="AX19" i="2" s="1"/>
  <c r="AY19" i="2" s="1"/>
  <c r="AO45" i="2"/>
  <c r="AO41" i="2"/>
  <c r="AO3" i="2"/>
  <c r="AQ3" i="2" s="1"/>
  <c r="AR3" i="2" s="1"/>
  <c r="AS3" i="2" s="1"/>
  <c r="AT3" i="2" s="1"/>
  <c r="AU3" i="2" s="1"/>
  <c r="AV3" i="2" s="1"/>
  <c r="AW3" i="2" s="1"/>
  <c r="AX3" i="2" s="1"/>
  <c r="AY3" i="2" s="1"/>
  <c r="AO61" i="2"/>
  <c r="AQ61" i="2" s="1"/>
  <c r="AR61" i="2" l="1"/>
  <c r="AS61" i="2" s="1"/>
  <c r="AT61" i="2" s="1"/>
  <c r="AQ41" i="2"/>
  <c r="AR41" i="2" s="1"/>
  <c r="AS41" i="2" s="1"/>
  <c r="AT41" i="2" s="1"/>
  <c r="AU41" i="2" s="1"/>
  <c r="AV41" i="2" s="1"/>
  <c r="AW41" i="2" s="1"/>
  <c r="AX41" i="2" s="1"/>
  <c r="AY41" i="2" s="1"/>
  <c r="AV39" i="2"/>
  <c r="AQ25" i="2"/>
  <c r="AR25" i="2" s="1"/>
  <c r="AS25" i="2" s="1"/>
  <c r="AT25" i="2" s="1"/>
  <c r="AQ49" i="2"/>
  <c r="AQ15" i="2"/>
  <c r="AR15" i="2" s="1"/>
  <c r="AR13" i="2"/>
  <c r="AS13" i="2" s="1"/>
  <c r="AT40" i="2"/>
  <c r="AU40" i="2" s="1"/>
  <c r="AV40" i="2" s="1"/>
  <c r="AW40" i="2" s="1"/>
  <c r="AQ22" i="2"/>
  <c r="AR22" i="2" s="1"/>
  <c r="AR10" i="2"/>
  <c r="AR31" i="2"/>
  <c r="AS31" i="2" s="1"/>
  <c r="AT31" i="2" s="1"/>
  <c r="AU31" i="2" s="1"/>
  <c r="AV31" i="2" s="1"/>
  <c r="AW31" i="2" s="1"/>
  <c r="AX31" i="2" s="1"/>
  <c r="AY31" i="2" s="1"/>
  <c r="AR11" i="2"/>
  <c r="AS11" i="2" s="1"/>
  <c r="AQ60" i="2"/>
  <c r="AR60" i="2" s="1"/>
  <c r="AS60" i="2" s="1"/>
  <c r="AS51" i="2"/>
  <c r="AT51" i="2" s="1"/>
  <c r="AU51" i="2" s="1"/>
  <c r="AV51" i="2" s="1"/>
  <c r="AW51" i="2" s="1"/>
  <c r="AX51" i="2" s="1"/>
  <c r="AY51" i="2" s="1"/>
  <c r="AQ57" i="2"/>
  <c r="AR57" i="2" s="1"/>
  <c r="AS57" i="2" s="1"/>
  <c r="AT57" i="2" s="1"/>
  <c r="AQ20" i="2"/>
  <c r="AQ16" i="2"/>
  <c r="AQ58" i="2"/>
  <c r="AR58" i="2" s="1"/>
  <c r="AS58" i="2" s="1"/>
  <c r="AT58" i="2" s="1"/>
  <c r="AR16" i="2"/>
  <c r="AS16" i="2" s="1"/>
  <c r="AT16" i="2" s="1"/>
  <c r="C26" i="2"/>
  <c r="B26" i="2" s="1"/>
  <c r="AV32" i="2"/>
  <c r="AW32" i="2" s="1"/>
  <c r="AX32" i="2" s="1"/>
  <c r="AY32" i="2" s="1"/>
  <c r="AS9" i="2"/>
  <c r="AU58" i="2"/>
  <c r="AV58" i="2" s="1"/>
  <c r="AW58" i="2" s="1"/>
  <c r="AT34" i="2"/>
  <c r="AU34" i="2" s="1"/>
  <c r="AQ45" i="2"/>
  <c r="AR45" i="2" s="1"/>
  <c r="AS45" i="2" s="1"/>
  <c r="AS7" i="2"/>
  <c r="AT7" i="2" s="1"/>
  <c r="AU7" i="2" s="1"/>
  <c r="AV7" i="2" s="1"/>
  <c r="AW7" i="2" s="1"/>
  <c r="AX7" i="2" s="1"/>
  <c r="AY7" i="2" s="1"/>
  <c r="AT9" i="2" l="1"/>
  <c r="AU9" i="2" s="1"/>
  <c r="AR20" i="2"/>
  <c r="AS20" i="2" s="1"/>
  <c r="AT20" i="2" s="1"/>
  <c r="AU20" i="2" s="1"/>
  <c r="AV20" i="2" s="1"/>
  <c r="AW20" i="2" s="1"/>
  <c r="AX20" i="2" s="1"/>
  <c r="AY20" i="2" s="1"/>
  <c r="AU57" i="2"/>
  <c r="AV57" i="2" s="1"/>
  <c r="AW57" i="2" s="1"/>
  <c r="AX57" i="2" s="1"/>
  <c r="AT60" i="2"/>
  <c r="AU60" i="2" s="1"/>
  <c r="AT11" i="2"/>
  <c r="AU11" i="2" s="1"/>
  <c r="AV11" i="2" s="1"/>
  <c r="AW11" i="2" s="1"/>
  <c r="AX11" i="2" s="1"/>
  <c r="AY11" i="2" s="1"/>
  <c r="AS10" i="2"/>
  <c r="AT10" i="2" s="1"/>
  <c r="AU10" i="2" s="1"/>
  <c r="AS22" i="2"/>
  <c r="AT22" i="2" s="1"/>
  <c r="AU22" i="2" s="1"/>
  <c r="AV22" i="2" s="1"/>
  <c r="AW22" i="2" s="1"/>
  <c r="AX22" i="2" s="1"/>
  <c r="AY22" i="2" s="1"/>
  <c r="AX40" i="2"/>
  <c r="AY40" i="2" s="1"/>
  <c r="AT13" i="2"/>
  <c r="AU13" i="2" s="1"/>
  <c r="AS15" i="2"/>
  <c r="AR49" i="2"/>
  <c r="AU25" i="2"/>
  <c r="AW39" i="2"/>
  <c r="AX39" i="2" s="1"/>
  <c r="AU61" i="2"/>
  <c r="AV61" i="2" s="1"/>
  <c r="AW61" i="2" s="1"/>
  <c r="AX61" i="2" s="1"/>
  <c r="AY61" i="2" s="1"/>
  <c r="AV34" i="2"/>
  <c r="AW34" i="2" s="1"/>
  <c r="AX34" i="2" s="1"/>
  <c r="AY34" i="2" s="1"/>
  <c r="AV9" i="2"/>
  <c r="AW9" i="2" s="1"/>
  <c r="AX9" i="2" s="1"/>
  <c r="AX58" i="2"/>
  <c r="AY58" i="2" s="1"/>
  <c r="AT45" i="2"/>
  <c r="AU16" i="2"/>
  <c r="AV16" i="2" s="1"/>
  <c r="AW16" i="2" s="1"/>
  <c r="AX16" i="2" s="1"/>
  <c r="AY16" i="2" s="1"/>
  <c r="AY39" i="2" l="1"/>
  <c r="AV25" i="2"/>
  <c r="AW25" i="2" s="1"/>
  <c r="AX25" i="2" s="1"/>
  <c r="AS49" i="2"/>
  <c r="AT49" i="2" s="1"/>
  <c r="AU49" i="2" s="1"/>
  <c r="AT15" i="2"/>
  <c r="AV13" i="2"/>
  <c r="AW13" i="2" s="1"/>
  <c r="AX13" i="2" s="1"/>
  <c r="AY13" i="2" s="1"/>
  <c r="AV10" i="2"/>
  <c r="AW10" i="2" s="1"/>
  <c r="AX10" i="2" s="1"/>
  <c r="AY10" i="2" s="1"/>
  <c r="AV60" i="2"/>
  <c r="AW60" i="2" s="1"/>
  <c r="AY57" i="2"/>
  <c r="AU45" i="2"/>
  <c r="AY9" i="2"/>
  <c r="AX60" i="2" l="1"/>
  <c r="AY60" i="2" s="1"/>
  <c r="AU15" i="2"/>
  <c r="AV15" i="2" s="1"/>
  <c r="AW15" i="2" s="1"/>
  <c r="AV49" i="2"/>
  <c r="AW49" i="2" s="1"/>
  <c r="AX49" i="2" s="1"/>
  <c r="AY25" i="2"/>
  <c r="AV45" i="2"/>
  <c r="AW45" i="2" s="1"/>
  <c r="AY49" i="2" l="1"/>
  <c r="AX15" i="2"/>
  <c r="AX45" i="2"/>
  <c r="AY45" i="2" s="1"/>
  <c r="AY1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<sst xmlns="http://schemas.openxmlformats.org/spreadsheetml/2006/main" count="737" uniqueCount="364">
  <si>
    <t>Year</t>
  </si>
  <si>
    <t>Quarter</t>
  </si>
  <si>
    <t>Date</t>
  </si>
  <si>
    <t>FirstDay</t>
  </si>
  <si>
    <t>Event</t>
  </si>
  <si>
    <t>Type</t>
  </si>
  <si>
    <t>Location</t>
  </si>
  <si>
    <t>OriginalCost</t>
  </si>
  <si>
    <t>NormCost2011</t>
  </si>
  <si>
    <t>NormCost2014</t>
  </si>
  <si>
    <t>Cities</t>
  </si>
  <si>
    <t>Auckland Power Outage</t>
  </si>
  <si>
    <t>Power outage</t>
  </si>
  <si>
    <t>Auckland</t>
  </si>
  <si>
    <t>NA</t>
  </si>
  <si>
    <t>Auckland,Pukekohe</t>
  </si>
  <si>
    <t>Nelson-Tasman Floods</t>
  </si>
  <si>
    <t>Flood</t>
  </si>
  <si>
    <t>Nelson, Tasman</t>
  </si>
  <si>
    <t>Nelson,Blenheim,Greymouth,Westport,Hokitika,Christchurch,Ashburton,Rangiora,Timaru,Waimate,Temuka</t>
  </si>
  <si>
    <t>9-11Jun</t>
  </si>
  <si>
    <t>Severe Weather North and South Islands</t>
  </si>
  <si>
    <t>Weather</t>
  </si>
  <si>
    <t>North and South Islands</t>
  </si>
  <si>
    <t>Nationwide</t>
  </si>
  <si>
    <t>Easter Weekend Storm and Floods</t>
  </si>
  <si>
    <t>Flood, Storm</t>
  </si>
  <si>
    <t>15-16Mar</t>
  </si>
  <si>
    <t>Cyclone Lusi</t>
  </si>
  <si>
    <t>Cyclone</t>
  </si>
  <si>
    <t>Canterbury storm</t>
  </si>
  <si>
    <t>Storm</t>
  </si>
  <si>
    <t>Canterbury</t>
  </si>
  <si>
    <t>Christchurch,Ashburton,Timaru,Rangiora,Waimate,Temuka,Greymouth,Westport,Hokitika,Dunedin,Balclutha,Milton,Kaitangata</t>
  </si>
  <si>
    <t>4-5Mar</t>
  </si>
  <si>
    <t>Canterbury and Lower North Island storm</t>
  </si>
  <si>
    <t>Canterbury and Lower North Island</t>
  </si>
  <si>
    <t>Christchurch,Ashburton,Timaru,Rangiora,Waimate,Temuka,Wellington,Masterton,Carterton,Kapiti,Foxton,Palmerston North,Fielding,Marton,Wanganui</t>
  </si>
  <si>
    <t>14-16Oct</t>
  </si>
  <si>
    <t>Nationwide storm</t>
  </si>
  <si>
    <t>11-12Sep</t>
  </si>
  <si>
    <t>Cook Strait earthquake</t>
  </si>
  <si>
    <t>Earthquake</t>
  </si>
  <si>
    <t>Cook Strait</t>
  </si>
  <si>
    <t>Wellington,Masterton,Carterton,Kapiti,Foxton,Nelson,Blenheim,Christchurch,Ashburton,Rangiora</t>
  </si>
  <si>
    <t>20-22Jun</t>
  </si>
  <si>
    <t>Nationwide storms</t>
  </si>
  <si>
    <t>4-7May</t>
  </si>
  <si>
    <t>North Island Floodsn</t>
  </si>
  <si>
    <t>North Island</t>
  </si>
  <si>
    <t>Whangarei,Dargaville,Auckland,Pukekohe,Hamilton,Cambridge,Huntly,Te Awamutu,Te Kuiti,Tokoroa,Morrinsville,Waihi,Tauranga,Rotorua,Whakatane,Gisborne,Napier,Hastings,Wairoa,Waipukurau,Dannevirke,New Plymouth,Hawera,Waitara,Stratford,Eltham,Wanganui,Palmerston North,Fielding,Marton,Ohakune,Taumaranui,Wellington,Masterton,Carterton,Kapiti,Foxton</t>
  </si>
  <si>
    <t>19-22Apr</t>
  </si>
  <si>
    <t>Nelson,Bay of Plenty storm and floods</t>
  </si>
  <si>
    <t>Nelson,Bay of Plenty</t>
  </si>
  <si>
    <t>Nelson,Blenheim,Tauranga,Rotorua,Whakatane</t>
  </si>
  <si>
    <t>Auckland Tornado</t>
  </si>
  <si>
    <t>Tornado</t>
  </si>
  <si>
    <t>2010-2011</t>
  </si>
  <si>
    <t>Canterbury Earthquake accumulated total</t>
  </si>
  <si>
    <t>Christchurch,Ashburton,Timaru,Rangiora,Waimate,Temuka,Nelson,Blenheim,Greymouth,Westport,Hokitika,Dunedin,Balclutha,Milton,Kaitangata</t>
  </si>
  <si>
    <t>26-27Apr</t>
  </si>
  <si>
    <t>Flooding, Hawkes Bay</t>
  </si>
  <si>
    <t>Hawkes Bay</t>
  </si>
  <si>
    <t>Napier,Hastings,Wairoa,Waipukurau,Dannevirke</t>
  </si>
  <si>
    <t>Flooding Mid-Upper North Island</t>
  </si>
  <si>
    <t>Mid-Upper North Island</t>
  </si>
  <si>
    <t>Auckland,Pukekohe,Hamilton,Cambridge,Huntly,Te Awamutu,Te Kuiti,Tokoroa,Morrinsville,Waihi,Tauranga,Rotorua,Whakatane</t>
  </si>
  <si>
    <t>Taranaki tornados</t>
  </si>
  <si>
    <t>Taranaki</t>
  </si>
  <si>
    <t>New Plymouth,Hawera,Waitara,Stratford,Eltham</t>
  </si>
  <si>
    <t>15-16Dec</t>
  </si>
  <si>
    <t>Nelson Floods</t>
  </si>
  <si>
    <t>Nelson</t>
  </si>
  <si>
    <t>Auckland tornado</t>
  </si>
  <si>
    <t>24-27May</t>
  </si>
  <si>
    <t>Flooding North , South Islands</t>
  </si>
  <si>
    <t>North, South Islands</t>
  </si>
  <si>
    <t>Southland Storm</t>
  </si>
  <si>
    <t>Southland</t>
  </si>
  <si>
    <t>Invercargill,Gore,Bluff,Dunedin,Balclutha,Milton,Kaitangata</t>
  </si>
  <si>
    <t>13,14Oct</t>
  </si>
  <si>
    <t>Gisborne Flooding</t>
  </si>
  <si>
    <t>Gisborne</t>
  </si>
  <si>
    <t>Wellington Thunderstorm</t>
  </si>
  <si>
    <t>Wellington</t>
  </si>
  <si>
    <t>Wellington,Masterton,Carterton,Kapiti,Foxton,Palmerston North,Fielding,Marton,Wanganui</t>
  </si>
  <si>
    <t>Flooding - Northland,Coromandel,Eastern BOP</t>
  </si>
  <si>
    <t>Northland,Coromandel,Eastern BOP</t>
  </si>
  <si>
    <t>Whangarei,Dargaville,Thames,Tauranga,Rotorua,Whakatane</t>
  </si>
  <si>
    <t>Taranaki Tornado</t>
  </si>
  <si>
    <t>Fiordland Earthquake</t>
  </si>
  <si>
    <t>Fiordland</t>
  </si>
  <si>
    <t>Invercargill,Gore,Bluff,Dunedin,Balclutha,Milton,Kaitangata,Christchurch,Ashburton,Timaru,Rangiora</t>
  </si>
  <si>
    <t>11,12Jul</t>
  </si>
  <si>
    <t>North Island Storms</t>
  </si>
  <si>
    <t>Bay of Plenty Hail Storm</t>
  </si>
  <si>
    <t>Hailstorm</t>
  </si>
  <si>
    <t>Bay of Plenty</t>
  </si>
  <si>
    <t>Tauranga,Rotorua,Whakatane</t>
  </si>
  <si>
    <t>Kaitaia Tornado</t>
  </si>
  <si>
    <t>Kaitaia</t>
  </si>
  <si>
    <t>Whangarei,Dargaville</t>
  </si>
  <si>
    <t>30-Jul-1-Aug</t>
  </si>
  <si>
    <t>Nationwide Storms</t>
  </si>
  <si>
    <t>Flooding Nth Canterbury and Marlborough</t>
  </si>
  <si>
    <t>North Canterbury and Marlborough</t>
  </si>
  <si>
    <t>Christchurch,Ashburton,Rangiora,Timaru,Waimate,Temuka,Nelson,Blenheim,Greymouth,Westport,Hokitika</t>
  </si>
  <si>
    <t>26-27-Jul</t>
  </si>
  <si>
    <t>Hastings Earthquake</t>
  </si>
  <si>
    <t>Hastings</t>
  </si>
  <si>
    <t>Hastings,Napier,Wairoa,Waipukurau,Dannevirke</t>
  </si>
  <si>
    <t>Cambridge Tornado</t>
  </si>
  <si>
    <t>Cambridge</t>
  </si>
  <si>
    <t>Cambridge,Hamilton,Huntly,Te Awamutu,Morrinsville,Tokoroa</t>
  </si>
  <si>
    <t>Canterbury hail storm</t>
  </si>
  <si>
    <t>Christchurch,Ashburton,Timaru,Rangiora,Waimate,Temuka,Greymouth,Westport,Hokitika</t>
  </si>
  <si>
    <t>Storm event - Far North</t>
  </si>
  <si>
    <t>Far North</t>
  </si>
  <si>
    <t>Flooding - Nelson , New Plymouth</t>
  </si>
  <si>
    <t>Nelson , New Plymouth</t>
  </si>
  <si>
    <t>Nelson,Blenheim,New Plymouth,Hawera,Waitara,Stratford,Eltham</t>
  </si>
  <si>
    <t>23-24-Oct</t>
  </si>
  <si>
    <t>High Winds Event, Central North and Lower South Islands</t>
  </si>
  <si>
    <t>Other</t>
  </si>
  <si>
    <t>Central North and Lower South Islands</t>
  </si>
  <si>
    <t>Palmerston North,Fielding,Marton,Wanganui,Ohakune,Taumaranui,Wellington,Masterton,Carterton,Kapiti,Foxton,Nelson,Blenheim,Christchurch,Ashburton,Rangiora,Timaru,Waimate,Temuka</t>
  </si>
  <si>
    <t>Gisborne earthquake</t>
  </si>
  <si>
    <t>Gisborne,Napier,Hastings,Wairoa,Waipukurau,Dannevirke</t>
  </si>
  <si>
    <t>Flooding Hawkes Bay</t>
  </si>
  <si>
    <t>10-12-Jul</t>
  </si>
  <si>
    <t>Storm event - Far North , Auckland , Coromandel</t>
  </si>
  <si>
    <t>Far North , Auckland , Coromandel</t>
  </si>
  <si>
    <t>Whangarei,Dargaville,Auckland,Pukekohe,Thames</t>
  </si>
  <si>
    <t>7-9-Jul</t>
  </si>
  <si>
    <t>Frost claims - Otago , Canterbury</t>
  </si>
  <si>
    <t>Otago , Canterbury</t>
  </si>
  <si>
    <t>Dunedin,Balclutha,Milton,Kaitangata,Christchurch,Ashburton,Timaru,Rangiora,Waimate,Temuka</t>
  </si>
  <si>
    <t>4-5-Jul</t>
  </si>
  <si>
    <t>Tornado events</t>
  </si>
  <si>
    <t>Auckland,Pukekohe,Hamilton,Cambridge,Huntly,Te Awamutu,Tokoroa,Morrinsville</t>
  </si>
  <si>
    <t>Flooding - Oamaru , Dunedin</t>
  </si>
  <si>
    <t>Oamaru , Dunedin</t>
  </si>
  <si>
    <t>Oamaru,Dunedin,Balclutha,Milton,Kaitangata</t>
  </si>
  <si>
    <t>Storms North , South Islands</t>
  </si>
  <si>
    <t>North , South Islands</t>
  </si>
  <si>
    <t>Windstorm damage - Mid to Upper North Island</t>
  </si>
  <si>
    <t>Mid to Upper North Island</t>
  </si>
  <si>
    <t>5-7-Jul</t>
  </si>
  <si>
    <t>Storm,Flood events - Wellington, Manawatu, Wairarapa</t>
  </si>
  <si>
    <t>Wellington, Manawatu, Wairarapa</t>
  </si>
  <si>
    <t>Wellington,Masterton,Carterton,Kapiti,Foxton,Palmerston North,Fielding,Marton,Wanganui,Ohakune,Taumaranui</t>
  </si>
  <si>
    <t>Coastal erosion - Haumoana H,B,</t>
  </si>
  <si>
    <t>Haumoana H,B,</t>
  </si>
  <si>
    <t>Napier,Hastings</t>
  </si>
  <si>
    <t>Flooding - Lower Nth Island</t>
  </si>
  <si>
    <t>Lower North Island</t>
  </si>
  <si>
    <t>Storm damage Bay of Plenty</t>
  </si>
  <si>
    <t>Flooding - Gisborne,East Cape</t>
  </si>
  <si>
    <t>Gisborne,East Cape</t>
  </si>
  <si>
    <t>23,24-Mar</t>
  </si>
  <si>
    <t>Christchurch Hailstorm</t>
  </si>
  <si>
    <t>Christchurch</t>
  </si>
  <si>
    <t>Christchurch,Ashburton,Rangiora,Timaru,Waimate,Temuka</t>
  </si>
  <si>
    <t>BOP Tauranga , Matata</t>
  </si>
  <si>
    <t>Tauranga,Whakatane,Rotorua</t>
  </si>
  <si>
    <t>Greymouth Tornado</t>
  </si>
  <si>
    <t>Greymouth</t>
  </si>
  <si>
    <t>Greymouth,Westport,Hokitika</t>
  </si>
  <si>
    <t>Rain Storm - Dunedin</t>
  </si>
  <si>
    <t>Dunedin</t>
  </si>
  <si>
    <t>Dunedin,Balclutha,Milton,Kaitangata</t>
  </si>
  <si>
    <t>Flooding - Wellington Region</t>
  </si>
  <si>
    <t>Wellington Region</t>
  </si>
  <si>
    <t>Wellington,Masterton,Carterton,Kapiti,Foxton</t>
  </si>
  <si>
    <t>20,21Jan</t>
  </si>
  <si>
    <t>Storm Damage - North Island</t>
  </si>
  <si>
    <t>Flooding - Hawkes Bay</t>
  </si>
  <si>
    <t>17,19-Jul</t>
  </si>
  <si>
    <t>Eastern Bay of Plenty Floods</t>
  </si>
  <si>
    <t>Whakatane,Tauranga,Rotorua</t>
  </si>
  <si>
    <t>15,20Aug</t>
  </si>
  <si>
    <t>Storms - North and South Islands</t>
  </si>
  <si>
    <t>15,16Feb</t>
  </si>
  <si>
    <t>Storm Damage - Lower Nth Island</t>
  </si>
  <si>
    <t>Wanganui Hailstorm</t>
  </si>
  <si>
    <t>Wanganui</t>
  </si>
  <si>
    <t>Wanganui,Palmerston North,Fielding,Marton,Ohakune,Taumaranui</t>
  </si>
  <si>
    <t>9-10-Jun</t>
  </si>
  <si>
    <t>Lower North Island Flooding , Storm Damage</t>
  </si>
  <si>
    <t>3,4Oct</t>
  </si>
  <si>
    <t>North , South Islands , Storms , Floods</t>
  </si>
  <si>
    <t>North Island Flooding , Storm Damage</t>
  </si>
  <si>
    <t>Dunedin Flooding</t>
  </si>
  <si>
    <t>Canterbury Flooding</t>
  </si>
  <si>
    <t>Wellington , Wairarapa Flooding</t>
  </si>
  <si>
    <t>Wellington , Wairarapa</t>
  </si>
  <si>
    <t>Canterbury Hail Storm</t>
  </si>
  <si>
    <t>Christchurch,Ashburton,Timaru,Rangiora,Waimate,Temuka</t>
  </si>
  <si>
    <t>Wellington , Wairarapa Floods</t>
  </si>
  <si>
    <t>Masterton Hailstorm</t>
  </si>
  <si>
    <t>Masterton</t>
  </si>
  <si>
    <t>Masterton,Carterton,Wellington,Kapiti,Foxton</t>
  </si>
  <si>
    <t>Storm Damage North Island</t>
  </si>
  <si>
    <t>North Island Severe Weather</t>
  </si>
  <si>
    <t>Canterbury Storms</t>
  </si>
  <si>
    <t>Tauranga , Eastern Bay of Plenty Floods</t>
  </si>
  <si>
    <t>Tauranga , Eastern Bay of Plenty</t>
  </si>
  <si>
    <t>Auckland , Coromandel Floods</t>
  </si>
  <si>
    <t>Auckland , Coromandel</t>
  </si>
  <si>
    <t>Auckland,Pukekohe,Thames</t>
  </si>
  <si>
    <t>Northland , Pukekohe Floods</t>
  </si>
  <si>
    <t>Northland , Pukekohe</t>
  </si>
  <si>
    <t>Whangarei,Dargaville,Auckland,Pukekohe</t>
  </si>
  <si>
    <t>Dargaville Floods</t>
  </si>
  <si>
    <t>Dargaville</t>
  </si>
  <si>
    <t>Dargaville,Whangarei</t>
  </si>
  <si>
    <t>South Canterbury Storms</t>
  </si>
  <si>
    <t>South Canterbury</t>
  </si>
  <si>
    <t>Timaru,Ashburton,Rangiora,Waimate,Temuka,Christchurch</t>
  </si>
  <si>
    <t>Whangarei , Rotorua Floods</t>
  </si>
  <si>
    <t>Whangarei , Rotorua</t>
  </si>
  <si>
    <t>Whangarei,Rotorua,Tauranga,Whakatane</t>
  </si>
  <si>
    <t>Queenstown Lakes District Floods</t>
  </si>
  <si>
    <t>Queenstown Lakes District</t>
  </si>
  <si>
    <t>Dunedin,Balclutha,Milton,Kaitangata,Gore,Invercargill,Bluff</t>
  </si>
  <si>
    <t>North , South Islands Storms</t>
  </si>
  <si>
    <t>Upper North Island Storms</t>
  </si>
  <si>
    <t>Upper North Island</t>
  </si>
  <si>
    <t>Whangarei,Dargaville,Auckland,Pukekohe,Hamilton,Cambridge,Huntly,Te Awamutu,Te Kuiti,Tokoroa,Morrinsville,Waihi</t>
  </si>
  <si>
    <t>Mercury Energy Crisis</t>
  </si>
  <si>
    <t>Mercury</t>
  </si>
  <si>
    <t>North , South Island Floods , Storms</t>
  </si>
  <si>
    <t>North , South Island</t>
  </si>
  <si>
    <t>Northland Floods</t>
  </si>
  <si>
    <t>Northland</t>
  </si>
  <si>
    <t>Auckland Floods</t>
  </si>
  <si>
    <t>Coromandel Floods</t>
  </si>
  <si>
    <t>Coromandel</t>
  </si>
  <si>
    <t>Thames</t>
  </si>
  <si>
    <t>South Island Storms</t>
  </si>
  <si>
    <t>South Island</t>
  </si>
  <si>
    <t>Nelson,Blenheim,Greymouth,Westport,Hokitika,Christchurch,Ashburton,Timaru,Rangiora,Waimate,Temuka,Dunedin,Balclutha,Milton,Kaitangata,Invercargill,Gore,Bluff</t>
  </si>
  <si>
    <t>South Island Windstorms</t>
  </si>
  <si>
    <t>Southland , Otago Wind , Hail</t>
  </si>
  <si>
    <t>Southland , Otago</t>
  </si>
  <si>
    <t>Cyclone Dreena</t>
  </si>
  <si>
    <t>Wairoa Floods</t>
  </si>
  <si>
    <t>Wairoa</t>
  </si>
  <si>
    <t>Wairoa,Napier,Hastings,Waipukurau,Dannevirke</t>
  </si>
  <si>
    <t>North , South Island Windstorms</t>
  </si>
  <si>
    <t>Cyclone Fergus</t>
  </si>
  <si>
    <t>Weather related losses June , July</t>
  </si>
  <si>
    <t>Weather related losses</t>
  </si>
  <si>
    <t>Whangarei , District Floods</t>
  </si>
  <si>
    <t>Whangarei , District</t>
  </si>
  <si>
    <t>New Plymouth Floods</t>
  </si>
  <si>
    <t>New Plymouth</t>
  </si>
  <si>
    <t>Thames , Kaiaua Floods</t>
  </si>
  <si>
    <t>Thames , Kaiaua</t>
  </si>
  <si>
    <t>North , South Island Floods</t>
  </si>
  <si>
    <t>Hastings Hailstorm</t>
  </si>
  <si>
    <t>South Canterbury Floods</t>
  </si>
  <si>
    <t>North , South Storm , Floods</t>
  </si>
  <si>
    <t>North , South</t>
  </si>
  <si>
    <t>Kaikoura Flood</t>
  </si>
  <si>
    <t>Kaikoura</t>
  </si>
  <si>
    <t>Christchurch,Ashburton,Timaru,Rangiora,Waimate,Temuka,Nelson,Blenheim,Greymouth,Westport,Hokitika</t>
  </si>
  <si>
    <t>Canterbury Snowstorm</t>
  </si>
  <si>
    <t>Albany Tornado</t>
  </si>
  <si>
    <t>Albany</t>
  </si>
  <si>
    <t>Otago Floods</t>
  </si>
  <si>
    <t>Otago</t>
  </si>
  <si>
    <t>Taranaki , Wanganui Floods</t>
  </si>
  <si>
    <t>Taranaki , Wanganui</t>
  </si>
  <si>
    <t>New Plymouth,Hawera,Waitara,Stratford,Eltham,Wanganui,Palmerston North,Fielding,Marton,Ohakune,Taumaranui</t>
  </si>
  <si>
    <t>Manawatu Floods</t>
  </si>
  <si>
    <t>Manawatu</t>
  </si>
  <si>
    <t>Palmerston North,Fielding,Marton,Wanganui,Ohakune,Taumaranui</t>
  </si>
  <si>
    <t>Cyclone Bola</t>
  </si>
  <si>
    <t>Gisborne,Napier,Hastings,Wairoa,Waipukurau,Dannevirke,Whangarei,Dargaville</t>
  </si>
  <si>
    <t>Greymouth Floods</t>
  </si>
  <si>
    <t>Bay of Plenty Earthquake</t>
  </si>
  <si>
    <t>Nelson,Blenheim,Greymouth,Westport,Hokitika</t>
  </si>
  <si>
    <t>North Otago , South Canterbury Floods</t>
  </si>
  <si>
    <t>North Otago , South Canterbury</t>
  </si>
  <si>
    <t>Dunedin,Balclutha,Milton,Kaitangata,Timaru,Ashburton,Rangiora,Waimate,Temuka,Christchurch</t>
  </si>
  <si>
    <t>Thames , Coromandel , Te Aroha</t>
  </si>
  <si>
    <t>Te Aroha,Paeroa,Thames</t>
  </si>
  <si>
    <t>Wellington , Hutt Valley</t>
  </si>
  <si>
    <t>Chatham Islands</t>
  </si>
  <si>
    <t>Chatham</t>
  </si>
  <si>
    <t xml:space="preserve"> </t>
  </si>
  <si>
    <t>Gisborne Floods</t>
  </si>
  <si>
    <t>Hawkes Bay , Wairarapa</t>
  </si>
  <si>
    <t>Napier,Hastings,Wairoa,Waipukurau,Dannevirke,Masterton,Carterton</t>
  </si>
  <si>
    <t>South Auckland</t>
  </si>
  <si>
    <t>Invercargill , Southland Floods</t>
  </si>
  <si>
    <t>Invercargill , Southland</t>
  </si>
  <si>
    <t>Christchurch Storm</t>
  </si>
  <si>
    <t>Marlborough , Golden Bay Floods</t>
  </si>
  <si>
    <t>Marlborough , Golden Bay</t>
  </si>
  <si>
    <t>Keri Keri Floods</t>
  </si>
  <si>
    <t>Keri Keri</t>
  </si>
  <si>
    <t>Thames , Coromandel , Paeroa Floods</t>
  </si>
  <si>
    <t>Thames , Coromandel , Paeroa</t>
  </si>
  <si>
    <t>Paeroa,Te Aroha,Thames</t>
  </si>
  <si>
    <t>South Island Summer Floods</t>
  </si>
  <si>
    <t>Taieri , Otago , New Plymouth Floods</t>
  </si>
  <si>
    <t>Taieri , Otago , New Plymouth</t>
  </si>
  <si>
    <t>Dunedin,Balclutha,Milton,Kaitangata,New Plymouth,Hawera,Waitara,Stratford,Eltham</t>
  </si>
  <si>
    <t>Onehunga Tornado</t>
  </si>
  <si>
    <t>Onehunga</t>
  </si>
  <si>
    <t>Wellington , Hutt Valley Floods</t>
  </si>
  <si>
    <t>Wahine storm</t>
  </si>
  <si>
    <t>Wahine</t>
  </si>
  <si>
    <t>Loss of Wahine</t>
  </si>
  <si>
    <t>Town</t>
  </si>
  <si>
    <t>Ashburton</t>
  </si>
  <si>
    <t>Balclutha</t>
  </si>
  <si>
    <t>Blenheim</t>
  </si>
  <si>
    <t>Bluff</t>
  </si>
  <si>
    <t>Carterton</t>
  </si>
  <si>
    <t>Dannevirke</t>
  </si>
  <si>
    <t>Eltham</t>
  </si>
  <si>
    <t>Fielding</t>
  </si>
  <si>
    <t>Foxton</t>
  </si>
  <si>
    <t>Gore</t>
  </si>
  <si>
    <t>Hamilton</t>
  </si>
  <si>
    <t>Hawera</t>
  </si>
  <si>
    <t>Hokitika</t>
  </si>
  <si>
    <t>Huntly</t>
  </si>
  <si>
    <t>Invercargill</t>
  </si>
  <si>
    <t>Kaitangata</t>
  </si>
  <si>
    <t>Kapiti</t>
  </si>
  <si>
    <t>Levin</t>
  </si>
  <si>
    <t>Marton</t>
  </si>
  <si>
    <t>Milton</t>
  </si>
  <si>
    <t>Morrinsville</t>
  </si>
  <si>
    <t>Napier</t>
  </si>
  <si>
    <t>Oamaru</t>
  </si>
  <si>
    <t>Ohakune</t>
  </si>
  <si>
    <t>Paeroa</t>
  </si>
  <si>
    <t>Palmerston North</t>
  </si>
  <si>
    <t>Pukekohe</t>
  </si>
  <si>
    <t>Rangiora</t>
  </si>
  <si>
    <t>Rotorua</t>
  </si>
  <si>
    <t>Stratford</t>
  </si>
  <si>
    <t>Taumaranui</t>
  </si>
  <si>
    <t>Taupo</t>
  </si>
  <si>
    <t>Tauranga</t>
  </si>
  <si>
    <t>Te Aroha</t>
  </si>
  <si>
    <t>Te Awamutu</t>
  </si>
  <si>
    <t>Te Kuiti</t>
  </si>
  <si>
    <t>Temuka</t>
  </si>
  <si>
    <t>Timaru</t>
  </si>
  <si>
    <t>Tokoroa</t>
  </si>
  <si>
    <t>Waihi</t>
  </si>
  <si>
    <t>Waimate</t>
  </si>
  <si>
    <t>Waipukurau</t>
  </si>
  <si>
    <t>Waitara</t>
  </si>
  <si>
    <t>Westport</t>
  </si>
  <si>
    <t>Whakatane</t>
  </si>
  <si>
    <t>Whangarei</t>
  </si>
  <si>
    <t>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</si>
</sst>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.0_);_(* \(#,##0.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B0C0C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" fontId="0" fillId="0" borderId="0" xfId="0" applyNumberFormat="1"/>
    <xf numFmtId="14" fontId="0" fillId="0" borderId="0" xfId="0" applyNumberFormat="1"/>
    <xf numFmtId="0" fontId="0" fillId="33" borderId="0" xfId="0" applyFill="1"/>
    <xf numFmtId="0" fontId="18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9862-E0B7-420C-9F39-0815AE67B3A1}">
  <dimension ref="A1:M146"/>
  <sheetViews>
    <sheetView tabSelected="1" topLeftCell="L1" workbookViewId="0">
      <selection activeCell="M1" sqref="M1"/>
    </sheetView>
  </sheetViews>
  <sheetFormatPr defaultRowHeight="14.5" x14ac:dyDescent="0.35"/>
  <cols>
    <col min="1" max="1" width="3.81640625" bestFit="1" customWidth="1"/>
    <col min="2" max="2" width="4.81640625" bestFit="1" customWidth="1"/>
    <col min="3" max="3" width="7.453125" bestFit="1" customWidth="1"/>
    <col min="4" max="4" width="11.26953125" bestFit="1" customWidth="1"/>
    <col min="5" max="5" width="10.1796875" bestFit="1" customWidth="1"/>
    <col min="6" max="6" width="49.54296875" bestFit="1" customWidth="1"/>
    <col min="7" max="7" width="12.26953125" bestFit="1" customWidth="1"/>
    <col min="8" max="8" width="33.81640625" bestFit="1" customWidth="1"/>
    <col min="9" max="9" width="11.453125" bestFit="1" customWidth="1"/>
    <col min="10" max="11" width="13.453125" bestFit="1" customWidth="1"/>
    <col min="12" max="12" width="127.54296875" style="6" customWidth="1"/>
    <col min="13" max="13" width="14" customWidth="1"/>
  </cols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6" t="s">
        <v>10</v>
      </c>
      <c r="M1" s="7" t="s">
        <v>363</v>
      </c>
    </row>
    <row r="2" spans="1:13" x14ac:dyDescent="0.35">
      <c r="A2">
        <v>1</v>
      </c>
      <c r="B2">
        <v>2014</v>
      </c>
      <c r="C2">
        <v>4</v>
      </c>
      <c r="D2" s="1">
        <v>46300</v>
      </c>
      <c r="E2" s="2">
        <v>41917</v>
      </c>
      <c r="F2" t="s">
        <v>11</v>
      </c>
      <c r="G2" t="s">
        <v>12</v>
      </c>
      <c r="H2" t="s">
        <v>13</v>
      </c>
      <c r="I2">
        <v>2</v>
      </c>
      <c r="J2" t="s">
        <v>14</v>
      </c>
      <c r="K2">
        <v>2</v>
      </c>
      <c r="L2" s="6" t="s">
        <v>15</v>
      </c>
      <c r="M2" s="7" cm="1">
        <f t="array" ref="M2">SUM(
  IFERROR(
    _xlfn.XLOOKUP(
      TRIM(_xlfn.TEXTSPLIT(nzcathist!L2, ",")),
      Sheet1!$A$2:$A$62,
      INDEX(Sheet1!$B$2:$AY$62, , MATCH(nzcathist!B2, Sheet1!$B$1:$AY$1, 0))
    ),
    0
  )
)</f>
        <v>1418385.0834032469</v>
      </c>
    </row>
    <row r="3" spans="1:13" x14ac:dyDescent="0.35">
      <c r="A3">
        <v>2</v>
      </c>
      <c r="B3">
        <v>2014</v>
      </c>
      <c r="C3">
        <v>2</v>
      </c>
      <c r="D3" s="1">
        <v>46198</v>
      </c>
      <c r="E3" s="2">
        <v>41815</v>
      </c>
      <c r="F3" t="s">
        <v>16</v>
      </c>
      <c r="G3" t="s">
        <v>17</v>
      </c>
      <c r="H3" t="s">
        <v>18</v>
      </c>
      <c r="I3">
        <v>2.7</v>
      </c>
      <c r="J3" t="s">
        <v>14</v>
      </c>
      <c r="K3">
        <v>2.72</v>
      </c>
      <c r="L3" s="6" t="s">
        <v>19</v>
      </c>
      <c r="M3" s="7" cm="1">
        <f t="array" ref="M3">SUM(
  IFERROR(
    _xlfn.XLOOKUP(
      TRIM(_xlfn.TEXTSPLIT(nzcathist!L3, ",")),
      Sheet1!$A$2:$A$62,
      INDEX(Sheet1!$B$2:$AY$62, , MATCH(nzcathist!B3, Sheet1!$B$1:$AY$1, 0))
    ),
    0
  )
)</f>
        <v>553504.91028578498</v>
      </c>
    </row>
    <row r="4" spans="1:13" x14ac:dyDescent="0.35">
      <c r="A4">
        <v>3</v>
      </c>
      <c r="B4">
        <v>2014</v>
      </c>
      <c r="C4">
        <v>2</v>
      </c>
      <c r="D4" t="s">
        <v>20</v>
      </c>
      <c r="E4" s="2">
        <v>41799</v>
      </c>
      <c r="F4" t="s">
        <v>21</v>
      </c>
      <c r="G4" t="s">
        <v>22</v>
      </c>
      <c r="H4" t="s">
        <v>23</v>
      </c>
      <c r="I4">
        <v>37.6</v>
      </c>
      <c r="J4" t="s">
        <v>14</v>
      </c>
      <c r="K4">
        <v>37.85</v>
      </c>
      <c r="L4" s="6" t="s">
        <v>24</v>
      </c>
      <c r="M4" s="7" cm="1">
        <f t="array" ref="M4">SUM(
  IFERROR(
    _xlfn.XLOOKUP(
      TRIM(_xlfn.TEXTSPLIT(nzcathist!L4, ",")),
      Sheet1!$A$2:$A$62,
      INDEX(Sheet1!$B$2:$AY$62, , MATCH(nzcathist!B4, Sheet1!$B$1:$AY$1, 0))
    ),
    0
  )
)</f>
        <v>4567520</v>
      </c>
    </row>
    <row r="5" spans="1:13" x14ac:dyDescent="0.35">
      <c r="A5">
        <v>4</v>
      </c>
      <c r="B5">
        <v>2014</v>
      </c>
      <c r="C5">
        <v>2</v>
      </c>
      <c r="D5" s="1">
        <v>46129</v>
      </c>
      <c r="E5" s="2">
        <v>41746</v>
      </c>
      <c r="F5" t="s">
        <v>25</v>
      </c>
      <c r="G5" t="s">
        <v>26</v>
      </c>
      <c r="H5" t="s">
        <v>14</v>
      </c>
      <c r="I5">
        <v>55.3</v>
      </c>
      <c r="J5" t="s">
        <v>14</v>
      </c>
      <c r="K5">
        <v>55.67</v>
      </c>
      <c r="L5" s="6" t="s">
        <v>24</v>
      </c>
      <c r="M5" s="7" cm="1">
        <f t="array" ref="M5">SUM(
  IFERROR(
    _xlfn.XLOOKUP(
      TRIM(_xlfn.TEXTSPLIT(nzcathist!L5, ",")),
      Sheet1!$A$2:$A$62,
      INDEX(Sheet1!$B$2:$AY$62, , MATCH(nzcathist!B5, Sheet1!$B$1:$AY$1, 0))
    ),
    0
  )
)</f>
        <v>4567520</v>
      </c>
    </row>
    <row r="6" spans="1:13" x14ac:dyDescent="0.35">
      <c r="A6">
        <v>5</v>
      </c>
      <c r="B6">
        <v>2014</v>
      </c>
      <c r="C6">
        <v>1</v>
      </c>
      <c r="D6" t="s">
        <v>27</v>
      </c>
      <c r="E6" s="2">
        <v>41713</v>
      </c>
      <c r="F6" t="s">
        <v>28</v>
      </c>
      <c r="G6" t="s">
        <v>29</v>
      </c>
      <c r="H6" t="s">
        <v>14</v>
      </c>
      <c r="I6">
        <v>3.6</v>
      </c>
      <c r="J6" t="s">
        <v>14</v>
      </c>
      <c r="K6">
        <v>3.63</v>
      </c>
      <c r="L6" s="6" t="s">
        <v>24</v>
      </c>
      <c r="M6" s="7" cm="1">
        <f t="array" ref="M6">SUM(
  IFERROR(
    _xlfn.XLOOKUP(
      TRIM(_xlfn.TEXTSPLIT(nzcathist!L6, ",")),
      Sheet1!$A$2:$A$62,
      INDEX(Sheet1!$B$2:$AY$62, , MATCH(nzcathist!B6, Sheet1!$B$1:$AY$1, 0))
    ),
    0
  )
)</f>
        <v>4567520</v>
      </c>
    </row>
    <row r="7" spans="1:13" x14ac:dyDescent="0.35">
      <c r="A7">
        <v>6</v>
      </c>
      <c r="B7">
        <v>2014</v>
      </c>
      <c r="C7">
        <v>1</v>
      </c>
      <c r="D7" s="1">
        <v>46076</v>
      </c>
      <c r="E7" s="2">
        <v>41693</v>
      </c>
      <c r="F7" t="s">
        <v>30</v>
      </c>
      <c r="G7" t="s">
        <v>31</v>
      </c>
      <c r="H7" t="s">
        <v>32</v>
      </c>
      <c r="I7">
        <v>4.8</v>
      </c>
      <c r="J7" t="s">
        <v>14</v>
      </c>
      <c r="K7">
        <v>4.84</v>
      </c>
      <c r="L7" s="6" t="s">
        <v>33</v>
      </c>
      <c r="M7" s="7" cm="1">
        <f t="array" ref="M7">SUM(
  IFERROR(
    _xlfn.XLOOKUP(
      TRIM(_xlfn.TEXTSPLIT(nzcathist!L7, ",")),
      Sheet1!$A$2:$A$62,
      INDEX(Sheet1!$B$2:$AY$62, , MATCH(nzcathist!B7, Sheet1!$B$1:$AY$1, 0))
    ),
    0
  )
)</f>
        <v>577492.87560931232</v>
      </c>
    </row>
    <row r="8" spans="1:13" x14ac:dyDescent="0.35">
      <c r="A8">
        <v>7</v>
      </c>
      <c r="B8">
        <v>2014</v>
      </c>
      <c r="C8">
        <v>1</v>
      </c>
      <c r="D8" t="s">
        <v>34</v>
      </c>
      <c r="E8" s="2">
        <v>41702</v>
      </c>
      <c r="F8" t="s">
        <v>35</v>
      </c>
      <c r="G8" t="s">
        <v>31</v>
      </c>
      <c r="H8" t="s">
        <v>36</v>
      </c>
      <c r="I8">
        <v>22.5</v>
      </c>
      <c r="J8" t="s">
        <v>14</v>
      </c>
      <c r="K8">
        <v>22.71</v>
      </c>
      <c r="L8" s="6" t="s">
        <v>37</v>
      </c>
      <c r="M8" s="7" cm="1">
        <f t="array" ref="M8">SUM(
  IFERROR(
    _xlfn.XLOOKUP(
      TRIM(_xlfn.TEXTSPLIT(nzcathist!L8, ",")),
      Sheet1!$A$2:$A$62,
      INDEX(Sheet1!$B$2:$AY$62, , MATCH(nzcathist!B8, Sheet1!$B$1:$AY$1, 0))
    ),
    0
  )
)</f>
        <v>1027982.0867313273</v>
      </c>
    </row>
    <row r="9" spans="1:13" x14ac:dyDescent="0.35">
      <c r="A9">
        <v>8</v>
      </c>
      <c r="B9">
        <v>2013</v>
      </c>
      <c r="C9">
        <v>4</v>
      </c>
      <c r="D9" t="s">
        <v>38</v>
      </c>
      <c r="E9" s="2">
        <v>41592</v>
      </c>
      <c r="F9" t="s">
        <v>39</v>
      </c>
      <c r="G9" t="s">
        <v>31</v>
      </c>
      <c r="H9" t="s">
        <v>24</v>
      </c>
      <c r="I9">
        <v>12.4</v>
      </c>
      <c r="J9" t="s">
        <v>14</v>
      </c>
      <c r="K9">
        <v>12.56</v>
      </c>
      <c r="L9" s="6" t="s">
        <v>24</v>
      </c>
      <c r="M9" s="7" cm="1">
        <f t="array" ref="M9">SUM(
  IFERROR(
    _xlfn.XLOOKUP(
      TRIM(_xlfn.TEXTSPLIT(nzcathist!L9, ",")),
      Sheet1!$A$2:$A$62,
      INDEX(Sheet1!$B$2:$AY$62, , MATCH(nzcathist!B9, Sheet1!$B$1:$AY$1, 0))
    ),
    0
  )
)</f>
        <v>4518520</v>
      </c>
    </row>
    <row r="10" spans="1:13" x14ac:dyDescent="0.35">
      <c r="A10">
        <v>9</v>
      </c>
      <c r="B10">
        <v>2013</v>
      </c>
      <c r="C10">
        <v>3</v>
      </c>
      <c r="D10" t="s">
        <v>40</v>
      </c>
      <c r="E10" s="2">
        <v>41528</v>
      </c>
      <c r="F10" t="s">
        <v>39</v>
      </c>
      <c r="G10" t="s">
        <v>31</v>
      </c>
      <c r="H10" t="s">
        <v>24</v>
      </c>
      <c r="I10">
        <v>74.5</v>
      </c>
      <c r="J10" t="s">
        <v>14</v>
      </c>
      <c r="K10">
        <v>75.5</v>
      </c>
      <c r="L10" s="6" t="s">
        <v>24</v>
      </c>
      <c r="M10" s="7" cm="1">
        <f t="array" ref="M10">SUM(
  IFERROR(
    _xlfn.XLOOKUP(
      TRIM(_xlfn.TEXTSPLIT(nzcathist!L10, ",")),
      Sheet1!$A$2:$A$62,
      INDEX(Sheet1!$B$2:$AY$62, , MATCH(nzcathist!B10, Sheet1!$B$1:$AY$1, 0))
    ),
    0
  )
)</f>
        <v>4518520</v>
      </c>
    </row>
    <row r="11" spans="1:13" x14ac:dyDescent="0.35">
      <c r="A11">
        <v>10</v>
      </c>
      <c r="B11">
        <v>2013</v>
      </c>
      <c r="C11">
        <v>3</v>
      </c>
      <c r="D11" s="1">
        <v>46250</v>
      </c>
      <c r="E11" s="2">
        <v>41502</v>
      </c>
      <c r="F11" t="s">
        <v>41</v>
      </c>
      <c r="G11" t="s">
        <v>42</v>
      </c>
      <c r="H11" t="s">
        <v>43</v>
      </c>
      <c r="I11">
        <v>16.2</v>
      </c>
      <c r="J11" t="s">
        <v>14</v>
      </c>
      <c r="K11">
        <v>16.420000000000002</v>
      </c>
      <c r="L11" s="6" t="s">
        <v>44</v>
      </c>
      <c r="M11" s="7" cm="1">
        <f t="array" ref="M11">SUM(
  IFERROR(
    _xlfn.XLOOKUP(
      TRIM(_xlfn.TEXTSPLIT(nzcathist!L11, ",")),
      Sheet1!$A$2:$A$62,
      INDEX(Sheet1!$B$2:$AY$62, , MATCH(nzcathist!B11, Sheet1!$B$1:$AY$1, 0))
    ),
    0
  )
)</f>
        <v>947329.58309902728</v>
      </c>
    </row>
    <row r="12" spans="1:13" x14ac:dyDescent="0.35">
      <c r="A12">
        <v>11</v>
      </c>
      <c r="B12">
        <v>2013</v>
      </c>
      <c r="C12">
        <v>3</v>
      </c>
      <c r="D12" s="1">
        <v>46224</v>
      </c>
      <c r="E12" s="2">
        <v>41476</v>
      </c>
      <c r="F12" t="s">
        <v>41</v>
      </c>
      <c r="G12" t="s">
        <v>42</v>
      </c>
      <c r="H12" t="s">
        <v>43</v>
      </c>
      <c r="I12">
        <v>14.9</v>
      </c>
      <c r="J12" t="s">
        <v>14</v>
      </c>
      <c r="K12">
        <v>15.1</v>
      </c>
      <c r="L12" s="6" t="s">
        <v>44</v>
      </c>
      <c r="M12" s="7" cm="1">
        <f t="array" ref="M12">SUM(
  IFERROR(
    _xlfn.XLOOKUP(
      TRIM(_xlfn.TEXTSPLIT(nzcathist!L12, ",")),
      Sheet1!$A$2:$A$62,
      INDEX(Sheet1!$B$2:$AY$62, , MATCH(nzcathist!B12, Sheet1!$B$1:$AY$1, 0))
    ),
    0
  )
)</f>
        <v>947329.58309902728</v>
      </c>
    </row>
    <row r="13" spans="1:13" x14ac:dyDescent="0.35">
      <c r="A13">
        <v>12</v>
      </c>
      <c r="B13">
        <v>2013</v>
      </c>
      <c r="C13">
        <v>2</v>
      </c>
      <c r="D13" t="s">
        <v>45</v>
      </c>
      <c r="E13" s="2">
        <v>41445</v>
      </c>
      <c r="F13" t="s">
        <v>46</v>
      </c>
      <c r="G13" t="s">
        <v>31</v>
      </c>
      <c r="H13" t="s">
        <v>24</v>
      </c>
      <c r="I13">
        <v>39.299999999999997</v>
      </c>
      <c r="J13" t="s">
        <v>14</v>
      </c>
      <c r="K13">
        <v>40.200000000000003</v>
      </c>
      <c r="L13" s="6" t="s">
        <v>24</v>
      </c>
      <c r="M13" s="7" cm="1">
        <f t="array" ref="M13">SUM(
  IFERROR(
    _xlfn.XLOOKUP(
      TRIM(_xlfn.TEXTSPLIT(nzcathist!L13, ",")),
      Sheet1!$A$2:$A$62,
      INDEX(Sheet1!$B$2:$AY$62, , MATCH(nzcathist!B13, Sheet1!$B$1:$AY$1, 0))
    ),
    0
  )
)</f>
        <v>4518520</v>
      </c>
    </row>
    <row r="14" spans="1:13" ht="58" x14ac:dyDescent="0.35">
      <c r="A14">
        <v>13</v>
      </c>
      <c r="B14">
        <v>2013</v>
      </c>
      <c r="C14">
        <v>2</v>
      </c>
      <c r="D14" t="s">
        <v>47</v>
      </c>
      <c r="E14" s="2">
        <v>41429</v>
      </c>
      <c r="F14" t="s">
        <v>48</v>
      </c>
      <c r="G14" t="s">
        <v>17</v>
      </c>
      <c r="H14" t="s">
        <v>49</v>
      </c>
      <c r="I14">
        <v>2.9</v>
      </c>
      <c r="J14" t="s">
        <v>14</v>
      </c>
      <c r="K14">
        <v>2.97</v>
      </c>
      <c r="L14" s="6" t="s">
        <v>50</v>
      </c>
      <c r="M14" s="7" cm="1">
        <f t="array" ref="M14">SUM(
  IFERROR(
    _xlfn.XLOOKUP(
      TRIM(_xlfn.TEXTSPLIT(nzcathist!L14, ",")),
      Sheet1!$A$2:$A$62,
      INDEX(Sheet1!$B$2:$AY$62, , MATCH(nzcathist!B14, Sheet1!$B$1:$AY$1, 0))
    ),
    0
  )
)</f>
        <v>2726947.0690818247</v>
      </c>
    </row>
    <row r="15" spans="1:13" x14ac:dyDescent="0.35">
      <c r="A15">
        <v>14</v>
      </c>
      <c r="B15">
        <v>2013</v>
      </c>
      <c r="C15">
        <v>2</v>
      </c>
      <c r="D15" t="s">
        <v>51</v>
      </c>
      <c r="E15" s="2">
        <v>41383</v>
      </c>
      <c r="F15" t="s">
        <v>52</v>
      </c>
      <c r="G15" t="s">
        <v>26</v>
      </c>
      <c r="H15" t="s">
        <v>53</v>
      </c>
      <c r="I15">
        <v>46.2</v>
      </c>
      <c r="J15" t="s">
        <v>14</v>
      </c>
      <c r="K15">
        <v>47.26</v>
      </c>
      <c r="L15" s="6" t="s">
        <v>54</v>
      </c>
      <c r="M15" s="7" cm="1">
        <f t="array" ref="M15">SUM(
  IFERROR(
    _xlfn.XLOOKUP(
      TRIM(_xlfn.TEXTSPLIT(nzcathist!L15, ",")),
      Sheet1!$A$2:$A$62,
      INDEX(Sheet1!$B$2:$AY$62, , MATCH(nzcathist!B15, Sheet1!$B$1:$AY$1, 0))
    ),
    0
  )
)</f>
        <v>292277.55571648089</v>
      </c>
    </row>
    <row r="16" spans="1:13" x14ac:dyDescent="0.35">
      <c r="A16">
        <v>15</v>
      </c>
      <c r="B16">
        <v>2012</v>
      </c>
      <c r="C16">
        <v>4</v>
      </c>
      <c r="D16" s="1">
        <v>46362</v>
      </c>
      <c r="E16" s="2">
        <v>41249</v>
      </c>
      <c r="F16" t="s">
        <v>55</v>
      </c>
      <c r="G16" t="s">
        <v>56</v>
      </c>
      <c r="H16" t="s">
        <v>13</v>
      </c>
      <c r="I16">
        <v>8.6999999999999993</v>
      </c>
      <c r="J16" t="s">
        <v>14</v>
      </c>
      <c r="K16">
        <v>8.9499999999999993</v>
      </c>
      <c r="L16" s="6" t="s">
        <v>15</v>
      </c>
      <c r="M16" s="7" cm="1">
        <f t="array" ref="M16">SUM(
  IFERROR(
    _xlfn.XLOOKUP(
      TRIM(_xlfn.TEXTSPLIT(nzcathist!L16, ",")),
      Sheet1!$A$2:$A$62,
      INDEX(Sheet1!$B$2:$AY$62, , MATCH(nzcathist!B16, Sheet1!$B$1:$AY$1, 0))
    ),
    0
  )
)</f>
        <v>1368895.7714994382</v>
      </c>
    </row>
    <row r="17" spans="1:13" x14ac:dyDescent="0.35">
      <c r="A17">
        <v>16</v>
      </c>
      <c r="B17">
        <v>2011</v>
      </c>
      <c r="C17">
        <v>1</v>
      </c>
      <c r="D17" t="s">
        <v>57</v>
      </c>
      <c r="E17" t="s">
        <v>14</v>
      </c>
      <c r="F17" t="s">
        <v>58</v>
      </c>
      <c r="G17" t="s">
        <v>42</v>
      </c>
      <c r="H17" t="s">
        <v>32</v>
      </c>
      <c r="I17">
        <v>16500</v>
      </c>
      <c r="J17" t="s">
        <v>14</v>
      </c>
      <c r="K17">
        <v>17320.68</v>
      </c>
      <c r="L17" s="6" t="s">
        <v>59</v>
      </c>
      <c r="M17" s="7" cm="1">
        <f t="array" ref="M17">SUM(
  IFERROR(
    _xlfn.XLOOKUP(
      TRIM(_xlfn.TEXTSPLIT(nzcathist!L17, ",")),
      Sheet1!$A$2:$A$62,
      INDEX(Sheet1!$B$2:$AY$62, , MATCH(nzcathist!B17, Sheet1!$B$1:$AY$1, 0))
    ),
    0
  )
)</f>
        <v>657679.52265831712</v>
      </c>
    </row>
    <row r="18" spans="1:13" x14ac:dyDescent="0.35">
      <c r="A18">
        <v>17</v>
      </c>
      <c r="B18">
        <v>2011</v>
      </c>
      <c r="C18">
        <v>1</v>
      </c>
      <c r="D18" s="1">
        <v>46051</v>
      </c>
      <c r="E18" s="2">
        <v>40572</v>
      </c>
      <c r="F18" t="s">
        <v>52</v>
      </c>
      <c r="G18" t="s">
        <v>26</v>
      </c>
      <c r="H18" t="s">
        <v>53</v>
      </c>
      <c r="I18">
        <v>19.8</v>
      </c>
      <c r="J18">
        <v>20.11</v>
      </c>
      <c r="K18">
        <v>20.78</v>
      </c>
      <c r="L18" s="6" t="s">
        <v>54</v>
      </c>
      <c r="M18" s="7" cm="1">
        <f t="array" ref="M18">SUM(
  IFERROR(
    _xlfn.XLOOKUP(
      TRIM(_xlfn.TEXTSPLIT(nzcathist!L18, ",")),
      Sheet1!$A$2:$A$62,
      INDEX(Sheet1!$B$2:$AY$62, , MATCH(nzcathist!B18, Sheet1!$B$1:$AY$1, 0))
    ),
    0
  )
)</f>
        <v>284114.78686570819</v>
      </c>
    </row>
    <row r="19" spans="1:13" x14ac:dyDescent="0.35">
      <c r="A19">
        <v>18</v>
      </c>
      <c r="B19">
        <v>2011</v>
      </c>
      <c r="C19">
        <v>2</v>
      </c>
      <c r="D19" t="s">
        <v>60</v>
      </c>
      <c r="E19" s="2">
        <v>40659</v>
      </c>
      <c r="F19" t="s">
        <v>61</v>
      </c>
      <c r="G19" t="s">
        <v>17</v>
      </c>
      <c r="H19" t="s">
        <v>62</v>
      </c>
      <c r="I19">
        <v>6.4</v>
      </c>
      <c r="J19">
        <v>6.45</v>
      </c>
      <c r="K19">
        <v>6.65</v>
      </c>
      <c r="L19" s="6" t="s">
        <v>63</v>
      </c>
      <c r="M19" s="7" cm="1">
        <f t="array" ref="M19">SUM(
  IFERROR(
    _xlfn.XLOOKUP(
      TRIM(_xlfn.TEXTSPLIT(nzcathist!L19, ",")),
      Sheet1!$A$2:$A$62,
      INDEX(Sheet1!$B$2:$AY$62, , MATCH(nzcathist!B19, Sheet1!$B$1:$AY$1, 0))
    ),
    0
  )
)</f>
        <v>132934.02053719439</v>
      </c>
    </row>
    <row r="20" spans="1:13" x14ac:dyDescent="0.35">
      <c r="A20">
        <v>19</v>
      </c>
      <c r="B20">
        <v>2011</v>
      </c>
      <c r="C20">
        <v>1</v>
      </c>
      <c r="D20" s="1">
        <v>46045</v>
      </c>
      <c r="E20" s="2">
        <v>40566</v>
      </c>
      <c r="F20" t="s">
        <v>64</v>
      </c>
      <c r="G20" t="s">
        <v>17</v>
      </c>
      <c r="H20" t="s">
        <v>65</v>
      </c>
      <c r="I20">
        <v>6.9</v>
      </c>
      <c r="J20">
        <v>7.01</v>
      </c>
      <c r="K20">
        <v>7.24</v>
      </c>
      <c r="L20" s="6" t="s">
        <v>66</v>
      </c>
      <c r="M20" s="7" cm="1">
        <f t="array" ref="M20">SUM(
  IFERROR(
    _xlfn.XLOOKUP(
      TRIM(_xlfn.TEXTSPLIT(nzcathist!L20, ",")),
      Sheet1!$A$2:$A$62,
      INDEX(Sheet1!$B$2:$AY$62, , MATCH(nzcathist!B20, Sheet1!$B$1:$AY$1, 0))
    ),
    0
  )
)</f>
        <v>1790879.838689524</v>
      </c>
    </row>
    <row r="21" spans="1:13" x14ac:dyDescent="0.35">
      <c r="A21">
        <v>20</v>
      </c>
      <c r="B21">
        <v>2011</v>
      </c>
      <c r="C21">
        <v>2</v>
      </c>
      <c r="D21" s="1">
        <v>46192</v>
      </c>
      <c r="E21" s="2">
        <v>40713</v>
      </c>
      <c r="F21" t="s">
        <v>67</v>
      </c>
      <c r="G21" t="s">
        <v>56</v>
      </c>
      <c r="H21" t="s">
        <v>68</v>
      </c>
      <c r="I21">
        <v>1.6</v>
      </c>
      <c r="J21">
        <v>1.6</v>
      </c>
      <c r="K21">
        <v>1.66</v>
      </c>
      <c r="L21" s="6" t="s">
        <v>69</v>
      </c>
      <c r="M21" s="7" cm="1">
        <f t="array" ref="M21">SUM(
  IFERROR(
    _xlfn.XLOOKUP(
      TRIM(_xlfn.TEXTSPLIT(nzcathist!L21, ",")),
      Sheet1!$A$2:$A$62,
      INDEX(Sheet1!$B$2:$AY$62, , MATCH(nzcathist!B21, Sheet1!$B$1:$AY$1, 0))
    ),
    0
  )
)</f>
        <v>70506.387086413437</v>
      </c>
    </row>
    <row r="22" spans="1:13" x14ac:dyDescent="0.35">
      <c r="A22">
        <v>21</v>
      </c>
      <c r="B22">
        <v>2011</v>
      </c>
      <c r="C22">
        <v>4</v>
      </c>
      <c r="D22" t="s">
        <v>70</v>
      </c>
      <c r="E22" s="2">
        <v>40892</v>
      </c>
      <c r="F22" t="s">
        <v>71</v>
      </c>
      <c r="G22" t="s">
        <v>17</v>
      </c>
      <c r="H22" t="s">
        <v>72</v>
      </c>
      <c r="I22">
        <v>16.8</v>
      </c>
      <c r="J22">
        <v>16.8</v>
      </c>
      <c r="K22">
        <v>17.45</v>
      </c>
      <c r="L22" s="6" t="s">
        <v>19</v>
      </c>
      <c r="M22" s="7" cm="1">
        <f t="array" ref="M22">SUM(
  IFERROR(
    _xlfn.XLOOKUP(
      TRIM(_xlfn.TEXTSPLIT(nzcathist!L22, ",")),
      Sheet1!$A$2:$A$62,
      INDEX(Sheet1!$B$2:$AY$62, , MATCH(nzcathist!B22, Sheet1!$B$1:$AY$1, 0))
    ),
    0
  )
)</f>
        <v>541329.39165518282</v>
      </c>
    </row>
    <row r="23" spans="1:13" x14ac:dyDescent="0.35">
      <c r="A23">
        <v>22</v>
      </c>
      <c r="B23">
        <v>2011</v>
      </c>
      <c r="C23">
        <v>2</v>
      </c>
      <c r="D23" s="1">
        <v>46145</v>
      </c>
      <c r="E23" s="2">
        <v>40666</v>
      </c>
      <c r="F23" t="s">
        <v>73</v>
      </c>
      <c r="G23" t="s">
        <v>56</v>
      </c>
      <c r="H23" t="s">
        <v>13</v>
      </c>
      <c r="I23">
        <v>6</v>
      </c>
      <c r="J23">
        <v>6.04</v>
      </c>
      <c r="K23">
        <v>6.24</v>
      </c>
      <c r="L23" s="6" t="s">
        <v>15</v>
      </c>
      <c r="M23" s="7" cm="1">
        <f t="array" ref="M23">SUM(
  IFERROR(
    _xlfn.XLOOKUP(
      TRIM(_xlfn.TEXTSPLIT(nzcathist!L23, ",")),
      Sheet1!$A$2:$A$62,
      INDEX(Sheet1!$B$2:$AY$62, , MATCH(nzcathist!B23, Sheet1!$B$1:$AY$1, 0))
    ),
    0
  )
)</f>
        <v>1344806.8079195921</v>
      </c>
    </row>
    <row r="24" spans="1:13" x14ac:dyDescent="0.35">
      <c r="A24">
        <v>23</v>
      </c>
      <c r="B24">
        <v>2010</v>
      </c>
      <c r="C24">
        <v>2</v>
      </c>
      <c r="D24" t="s">
        <v>74</v>
      </c>
      <c r="E24" s="2">
        <v>40322</v>
      </c>
      <c r="F24" t="s">
        <v>75</v>
      </c>
      <c r="G24" t="s">
        <v>17</v>
      </c>
      <c r="H24" t="s">
        <v>76</v>
      </c>
      <c r="I24">
        <v>5.5</v>
      </c>
      <c r="J24">
        <v>5.8</v>
      </c>
      <c r="K24">
        <v>6.02</v>
      </c>
      <c r="L24" s="6" t="s">
        <v>24</v>
      </c>
      <c r="M24" s="7" cm="1">
        <f t="array" ref="M24">SUM(
  IFERROR(
    _xlfn.XLOOKUP(
      TRIM(_xlfn.TEXTSPLIT(nzcathist!L24, ",")),
      Sheet1!$A$2:$A$62,
      INDEX(Sheet1!$B$2:$AY$62, , MATCH(nzcathist!B24, Sheet1!$B$1:$AY$1, 0))
    ),
    0
  )
)</f>
        <v>4370060</v>
      </c>
    </row>
    <row r="25" spans="1:13" x14ac:dyDescent="0.35">
      <c r="A25">
        <v>24</v>
      </c>
      <c r="B25">
        <v>2010</v>
      </c>
      <c r="C25">
        <v>3</v>
      </c>
      <c r="D25" s="1">
        <v>46283</v>
      </c>
      <c r="E25" s="2">
        <v>40439</v>
      </c>
      <c r="F25" t="s">
        <v>77</v>
      </c>
      <c r="G25" t="s">
        <v>31</v>
      </c>
      <c r="H25" t="s">
        <v>78</v>
      </c>
      <c r="I25">
        <v>49.3</v>
      </c>
      <c r="J25">
        <v>51.46</v>
      </c>
      <c r="K25">
        <v>53.38</v>
      </c>
      <c r="L25" s="6" t="s">
        <v>79</v>
      </c>
      <c r="M25" s="7" cm="1">
        <f t="array" ref="M25">SUM(
  IFERROR(
    _xlfn.XLOOKUP(
      TRIM(_xlfn.TEXTSPLIT(nzcathist!L25, ",")),
      Sheet1!$A$2:$A$62,
      INDEX(Sheet1!$B$2:$AY$62, , MATCH(nzcathist!B25, Sheet1!$B$1:$AY$1, 0))
    ),
    0
  )
)</f>
        <v>173059.06126957614</v>
      </c>
    </row>
    <row r="26" spans="1:13" x14ac:dyDescent="0.35">
      <c r="A26">
        <v>25</v>
      </c>
      <c r="B26">
        <v>2010</v>
      </c>
      <c r="C26">
        <v>4</v>
      </c>
      <c r="D26" t="s">
        <v>80</v>
      </c>
      <c r="E26" s="2">
        <v>40464</v>
      </c>
      <c r="F26" t="s">
        <v>81</v>
      </c>
      <c r="G26" t="s">
        <v>17</v>
      </c>
      <c r="H26" t="s">
        <v>82</v>
      </c>
      <c r="I26">
        <v>0.25</v>
      </c>
      <c r="J26">
        <v>0.26</v>
      </c>
      <c r="K26">
        <v>0.26</v>
      </c>
      <c r="L26" s="6" t="s">
        <v>82</v>
      </c>
      <c r="M26" s="7" cm="1">
        <f t="array" ref="M26">SUM(
  IFERROR(
    _xlfn.XLOOKUP(
      TRIM(_xlfn.TEXTSPLIT(nzcathist!L26, ",")),
      Sheet1!$A$2:$A$62,
      INDEX(Sheet1!$B$2:$AY$62, , MATCH(nzcathist!B26, Sheet1!$B$1:$AY$1, 0))
    ),
    0
  )
)</f>
        <v>32479.447232577713</v>
      </c>
    </row>
    <row r="27" spans="1:13" x14ac:dyDescent="0.35">
      <c r="A27">
        <v>26</v>
      </c>
      <c r="B27">
        <v>2010</v>
      </c>
      <c r="C27">
        <v>1</v>
      </c>
      <c r="D27" s="1">
        <v>46093</v>
      </c>
      <c r="E27" s="2">
        <v>40249</v>
      </c>
      <c r="F27" t="s">
        <v>83</v>
      </c>
      <c r="G27" t="s">
        <v>31</v>
      </c>
      <c r="H27" t="s">
        <v>84</v>
      </c>
      <c r="I27">
        <v>1.2</v>
      </c>
      <c r="J27">
        <v>1.27</v>
      </c>
      <c r="K27">
        <v>1.32</v>
      </c>
      <c r="L27" s="6" t="s">
        <v>85</v>
      </c>
      <c r="M27" s="7" cm="1">
        <f t="array" ref="M27">SUM(
  IFERROR(
    _xlfn.XLOOKUP(
      TRIM(_xlfn.TEXTSPLIT(nzcathist!L27, ",")),
      Sheet1!$A$2:$A$62,
      INDEX(Sheet1!$B$2:$AY$62, , MATCH(nzcathist!B27, Sheet1!$B$1:$AY$1, 0))
    ),
    0
  )
)</f>
        <v>569151.27707833983</v>
      </c>
    </row>
    <row r="28" spans="1:13" x14ac:dyDescent="0.35">
      <c r="A28">
        <v>27</v>
      </c>
      <c r="B28">
        <v>2010</v>
      </c>
      <c r="C28">
        <v>2</v>
      </c>
      <c r="D28" s="1">
        <v>46174</v>
      </c>
      <c r="E28" s="2">
        <v>40330</v>
      </c>
      <c r="F28" t="s">
        <v>86</v>
      </c>
      <c r="G28" t="s">
        <v>17</v>
      </c>
      <c r="H28" t="s">
        <v>87</v>
      </c>
      <c r="I28">
        <v>12.5</v>
      </c>
      <c r="J28">
        <v>13.18</v>
      </c>
      <c r="K28">
        <v>13.68</v>
      </c>
      <c r="L28" s="6" t="s">
        <v>88</v>
      </c>
      <c r="M28" s="7" cm="1">
        <f t="array" ref="M28">SUM(
  IFERROR(
    _xlfn.XLOOKUP(
      TRIM(_xlfn.TEXTSPLIT(nzcathist!L28, ",")),
      Sheet1!$A$2:$A$62,
      INDEX(Sheet1!$B$2:$AY$62, , MATCH(nzcathist!B28, Sheet1!$B$1:$AY$1, 0))
    ),
    0
  )
)</f>
        <v>246400.30889051038</v>
      </c>
    </row>
    <row r="29" spans="1:13" x14ac:dyDescent="0.35">
      <c r="A29">
        <v>28</v>
      </c>
      <c r="B29">
        <v>2009</v>
      </c>
      <c r="C29">
        <v>3</v>
      </c>
      <c r="D29" s="1">
        <v>46224</v>
      </c>
      <c r="E29" s="2">
        <v>40015</v>
      </c>
      <c r="F29" t="s">
        <v>89</v>
      </c>
      <c r="G29" t="s">
        <v>56</v>
      </c>
      <c r="H29" t="s">
        <v>68</v>
      </c>
      <c r="I29">
        <v>0.5</v>
      </c>
      <c r="J29">
        <v>0.53</v>
      </c>
      <c r="K29">
        <v>0.55000000000000004</v>
      </c>
      <c r="L29" s="6" t="s">
        <v>69</v>
      </c>
      <c r="M29" s="7" cm="1">
        <f t="array" ref="M29">SUM(
  IFERROR(
    _xlfn.XLOOKUP(
      TRIM(_xlfn.TEXTSPLIT(nzcathist!L29, ",")),
      Sheet1!$A$2:$A$62,
      INDEX(Sheet1!$B$2:$AY$62, , MATCH(nzcathist!B29, Sheet1!$B$1:$AY$1, 0))
    ),
    0
  )
)</f>
        <v>70880.319860850359</v>
      </c>
    </row>
    <row r="30" spans="1:13" x14ac:dyDescent="0.35">
      <c r="A30">
        <v>29</v>
      </c>
      <c r="B30">
        <v>2009</v>
      </c>
      <c r="C30">
        <v>3</v>
      </c>
      <c r="D30" s="1">
        <v>46218</v>
      </c>
      <c r="E30" s="2">
        <v>40009</v>
      </c>
      <c r="F30" t="s">
        <v>90</v>
      </c>
      <c r="G30" t="s">
        <v>42</v>
      </c>
      <c r="H30" t="s">
        <v>91</v>
      </c>
      <c r="I30">
        <v>1.5</v>
      </c>
      <c r="J30">
        <v>1.6</v>
      </c>
      <c r="K30">
        <v>1.65</v>
      </c>
      <c r="L30" s="6" t="s">
        <v>92</v>
      </c>
      <c r="M30" s="7" cm="1">
        <f t="array" ref="M30">SUM(
  IFERROR(
    _xlfn.XLOOKUP(
      TRIM(_xlfn.TEXTSPLIT(nzcathist!L30, ",")),
      Sheet1!$A$2:$A$62,
      INDEX(Sheet1!$B$2:$AY$62, , MATCH(nzcathist!B30, Sheet1!$B$1:$AY$1, 0))
    ),
    0
  )
)</f>
        <v>596204.73943377251</v>
      </c>
    </row>
    <row r="31" spans="1:13" ht="58" x14ac:dyDescent="0.35">
      <c r="A31">
        <v>30</v>
      </c>
      <c r="B31">
        <v>2009</v>
      </c>
      <c r="C31">
        <v>3</v>
      </c>
      <c r="D31" t="s">
        <v>93</v>
      </c>
      <c r="E31" s="2">
        <v>40005</v>
      </c>
      <c r="F31" t="s">
        <v>94</v>
      </c>
      <c r="G31" t="s">
        <v>31</v>
      </c>
      <c r="H31" t="s">
        <v>49</v>
      </c>
      <c r="I31">
        <v>1.7</v>
      </c>
      <c r="J31">
        <v>1.82</v>
      </c>
      <c r="K31">
        <v>1.87</v>
      </c>
      <c r="L31" s="6" t="s">
        <v>50</v>
      </c>
      <c r="M31" s="7" cm="1">
        <f t="array" ref="M31">SUM(
  IFERROR(
    _xlfn.XLOOKUP(
      TRIM(_xlfn.TEXTSPLIT(nzcathist!L31, ",")),
      Sheet1!$A$2:$A$62,
      INDEX(Sheet1!$B$2:$AY$62, , MATCH(nzcathist!B31, Sheet1!$B$1:$AY$1, 0))
    ),
    0
  )
)</f>
        <v>2593729.9319891362</v>
      </c>
    </row>
    <row r="32" spans="1:13" x14ac:dyDescent="0.35">
      <c r="A32">
        <v>31</v>
      </c>
      <c r="B32">
        <v>2009</v>
      </c>
      <c r="C32">
        <v>2</v>
      </c>
      <c r="D32" s="1">
        <v>46153</v>
      </c>
      <c r="E32" s="2">
        <v>39944</v>
      </c>
      <c r="F32" t="s">
        <v>95</v>
      </c>
      <c r="G32" t="s">
        <v>96</v>
      </c>
      <c r="H32" t="s">
        <v>97</v>
      </c>
      <c r="I32">
        <v>2.2999999999999998</v>
      </c>
      <c r="J32">
        <v>2.4700000000000002</v>
      </c>
      <c r="K32">
        <v>2.56</v>
      </c>
      <c r="L32" s="6" t="s">
        <v>98</v>
      </c>
      <c r="M32" s="7" cm="1">
        <f t="array" ref="M32">SUM(
  IFERROR(
    _xlfn.XLOOKUP(
      TRIM(_xlfn.TEXTSPLIT(nzcathist!L32, ",")),
      Sheet1!$A$2:$A$62,
      INDEX(Sheet1!$B$2:$AY$62, , MATCH(nzcathist!B32, Sheet1!$B$1:$AY$1, 0))
    ),
    0
  )
)</f>
        <v>188834.12133085012</v>
      </c>
    </row>
    <row r="33" spans="1:13" x14ac:dyDescent="0.35">
      <c r="A33">
        <v>32</v>
      </c>
      <c r="B33">
        <v>2009</v>
      </c>
      <c r="C33">
        <v>3</v>
      </c>
      <c r="D33" s="1">
        <v>46207</v>
      </c>
      <c r="E33" s="2">
        <v>39998</v>
      </c>
      <c r="F33" t="s">
        <v>99</v>
      </c>
      <c r="G33" t="s">
        <v>56</v>
      </c>
      <c r="H33" t="s">
        <v>100</v>
      </c>
      <c r="I33">
        <v>0.01</v>
      </c>
      <c r="J33">
        <v>0.01</v>
      </c>
      <c r="K33">
        <v>0.01</v>
      </c>
      <c r="L33" s="6" t="s">
        <v>101</v>
      </c>
      <c r="M33" s="7" cm="1">
        <f t="array" ref="M33">SUM(
  IFERROR(
    _xlfn.XLOOKUP(
      TRIM(_xlfn.TEXTSPLIT(nzcathist!L33, ",")),
      Sheet1!$A$2:$A$62,
      INDEX(Sheet1!$B$2:$AY$62, , MATCH(nzcathist!B33, Sheet1!$B$1:$AY$1, 0))
    ),
    0
  )
)</f>
        <v>54238.145894207162</v>
      </c>
    </row>
    <row r="34" spans="1:13" x14ac:dyDescent="0.35">
      <c r="A34">
        <v>33</v>
      </c>
      <c r="B34">
        <v>2008</v>
      </c>
      <c r="C34">
        <v>3</v>
      </c>
      <c r="D34" t="s">
        <v>102</v>
      </c>
      <c r="E34" s="2">
        <v>39659</v>
      </c>
      <c r="F34" t="s">
        <v>103</v>
      </c>
      <c r="G34" t="s">
        <v>31</v>
      </c>
      <c r="H34" t="s">
        <v>24</v>
      </c>
      <c r="I34">
        <v>46.3</v>
      </c>
      <c r="J34">
        <v>50.29</v>
      </c>
      <c r="K34">
        <v>51.72</v>
      </c>
      <c r="L34" s="6" t="s">
        <v>24</v>
      </c>
      <c r="M34" s="7" cm="1">
        <f t="array" ref="M34">SUM(
  IFERROR(
    _xlfn.XLOOKUP(
      TRIM(_xlfn.TEXTSPLIT(nzcathist!L34, ",")),
      Sheet1!$A$2:$A$62,
      INDEX(Sheet1!$B$2:$AY$62, , MATCH(nzcathist!B34, Sheet1!$B$1:$AY$1, 0))
    ),
    0
  )
)</f>
        <v>4278160</v>
      </c>
    </row>
    <row r="35" spans="1:13" x14ac:dyDescent="0.35">
      <c r="A35">
        <v>34</v>
      </c>
      <c r="B35">
        <v>2008</v>
      </c>
      <c r="C35">
        <v>3</v>
      </c>
      <c r="D35" s="1">
        <v>46260</v>
      </c>
      <c r="E35" s="2">
        <v>39686</v>
      </c>
      <c r="F35" t="s">
        <v>104</v>
      </c>
      <c r="G35" t="s">
        <v>17</v>
      </c>
      <c r="H35" t="s">
        <v>105</v>
      </c>
      <c r="I35">
        <v>0.8</v>
      </c>
      <c r="J35">
        <v>0.87</v>
      </c>
      <c r="K35">
        <v>0.89</v>
      </c>
      <c r="L35" s="6" t="s">
        <v>106</v>
      </c>
      <c r="M35" s="7" cm="1">
        <f t="array" ref="M35">SUM(
  IFERROR(
    _xlfn.XLOOKUP(
      TRIM(_xlfn.TEXTSPLIT(nzcathist!L35, ",")),
      Sheet1!$A$2:$A$62,
      INDEX(Sheet1!$B$2:$AY$62, , MATCH(nzcathist!B35, Sheet1!$B$1:$AY$1, 0))
    ),
    0
  )
)</f>
        <v>529496.04487237928</v>
      </c>
    </row>
    <row r="36" spans="1:13" ht="58" x14ac:dyDescent="0.35">
      <c r="A36">
        <v>35</v>
      </c>
      <c r="B36">
        <v>2008</v>
      </c>
      <c r="C36">
        <v>3</v>
      </c>
      <c r="D36" t="s">
        <v>107</v>
      </c>
      <c r="E36" s="2">
        <v>39655</v>
      </c>
      <c r="F36" t="s">
        <v>94</v>
      </c>
      <c r="G36" t="s">
        <v>31</v>
      </c>
      <c r="H36" t="s">
        <v>49</v>
      </c>
      <c r="I36">
        <v>26.7</v>
      </c>
      <c r="J36">
        <v>29.02</v>
      </c>
      <c r="K36">
        <v>29.82</v>
      </c>
      <c r="L36" s="6" t="s">
        <v>50</v>
      </c>
      <c r="M36" s="7" cm="1">
        <f t="array" ref="M36">SUM(
  IFERROR(
    _xlfn.XLOOKUP(
      TRIM(_xlfn.TEXTSPLIT(nzcathist!L36, ",")),
      Sheet1!$A$2:$A$62,
      INDEX(Sheet1!$B$2:$AY$62, , MATCH(nzcathist!B36, Sheet1!$B$1:$AY$1, 0))
    ),
    0
  )
)</f>
        <v>2561885.822706922</v>
      </c>
    </row>
    <row r="37" spans="1:13" x14ac:dyDescent="0.35">
      <c r="A37">
        <v>36</v>
      </c>
      <c r="B37">
        <v>2008</v>
      </c>
      <c r="C37">
        <v>3</v>
      </c>
      <c r="D37" s="1">
        <v>46259</v>
      </c>
      <c r="E37" s="2">
        <v>39685</v>
      </c>
      <c r="F37" t="s">
        <v>108</v>
      </c>
      <c r="G37" t="s">
        <v>42</v>
      </c>
      <c r="H37" t="s">
        <v>109</v>
      </c>
      <c r="I37">
        <v>0.23</v>
      </c>
      <c r="J37">
        <v>0.25</v>
      </c>
      <c r="K37">
        <v>0.26</v>
      </c>
      <c r="L37" s="6" t="s">
        <v>110</v>
      </c>
      <c r="M37" s="7" cm="1">
        <f t="array" ref="M37">SUM(
  IFERROR(
    _xlfn.XLOOKUP(
      TRIM(_xlfn.TEXTSPLIT(nzcathist!L37, ",")),
      Sheet1!$A$2:$A$62,
      INDEX(Sheet1!$B$2:$AY$62, , MATCH(nzcathist!B37, Sheet1!$B$1:$AY$1, 0))
    ),
    0
  )
)</f>
        <v>131813.4707605328</v>
      </c>
    </row>
    <row r="38" spans="1:13" x14ac:dyDescent="0.35">
      <c r="A38">
        <v>37</v>
      </c>
      <c r="B38">
        <v>2008</v>
      </c>
      <c r="C38">
        <v>4</v>
      </c>
      <c r="D38" s="1">
        <v>46312</v>
      </c>
      <c r="E38" s="2">
        <v>39738</v>
      </c>
      <c r="F38" t="s">
        <v>111</v>
      </c>
      <c r="G38" t="s">
        <v>56</v>
      </c>
      <c r="H38" t="s">
        <v>112</v>
      </c>
      <c r="I38">
        <v>1.03</v>
      </c>
      <c r="J38">
        <v>1.1100000000000001</v>
      </c>
      <c r="K38">
        <v>1.1599999999999999</v>
      </c>
      <c r="L38" s="6" t="s">
        <v>113</v>
      </c>
      <c r="M38" s="7" cm="1">
        <f t="array" ref="M38">SUM(
  IFERROR(
    _xlfn.XLOOKUP(
      TRIM(_xlfn.TEXTSPLIT(nzcathist!L38, ",")),
      Sheet1!$A$2:$A$62,
      INDEX(Sheet1!$B$2:$AY$62, , MATCH(nzcathist!B38, Sheet1!$B$1:$AY$1, 0))
    ),
    0
  )
)</f>
        <v>235809.37733467083</v>
      </c>
    </row>
    <row r="39" spans="1:13" x14ac:dyDescent="0.35">
      <c r="A39">
        <v>38</v>
      </c>
      <c r="B39">
        <v>2008</v>
      </c>
      <c r="C39">
        <v>4</v>
      </c>
      <c r="D39" s="1">
        <v>46343</v>
      </c>
      <c r="E39" s="2">
        <v>39769</v>
      </c>
      <c r="F39" t="s">
        <v>114</v>
      </c>
      <c r="G39" t="s">
        <v>96</v>
      </c>
      <c r="H39" t="s">
        <v>32</v>
      </c>
      <c r="I39">
        <v>11.2</v>
      </c>
      <c r="J39">
        <v>12.07</v>
      </c>
      <c r="K39">
        <v>12.57</v>
      </c>
      <c r="L39" s="6" t="s">
        <v>115</v>
      </c>
      <c r="M39" s="7" cm="1">
        <f t="array" ref="M39">SUM(
  IFERROR(
    _xlfn.XLOOKUP(
      TRIM(_xlfn.TEXTSPLIT(nzcathist!L39, ",")),
      Sheet1!$A$2:$A$62,
      INDEX(Sheet1!$B$2:$AY$62, , MATCH(nzcathist!B39, Sheet1!$B$1:$AY$1, 0))
    ),
    0
  )
)</f>
        <v>442911.57598375878</v>
      </c>
    </row>
    <row r="40" spans="1:13" x14ac:dyDescent="0.35">
      <c r="A40">
        <v>39</v>
      </c>
      <c r="B40">
        <v>2007</v>
      </c>
      <c r="C40">
        <v>1</v>
      </c>
      <c r="D40" s="1">
        <v>46110</v>
      </c>
      <c r="E40" s="2">
        <v>39170</v>
      </c>
      <c r="F40" t="s">
        <v>116</v>
      </c>
      <c r="G40" t="s">
        <v>31</v>
      </c>
      <c r="H40" t="s">
        <v>117</v>
      </c>
      <c r="I40">
        <v>12.5</v>
      </c>
      <c r="J40">
        <v>14.33</v>
      </c>
      <c r="K40">
        <v>14.89</v>
      </c>
      <c r="L40" s="6" t="s">
        <v>101</v>
      </c>
      <c r="M40" s="7" cm="1">
        <f t="array" ref="M40">SUM(
  IFERROR(
    _xlfn.XLOOKUP(
      TRIM(_xlfn.TEXTSPLIT(nzcathist!L40, ",")),
      Sheet1!$A$2:$A$62,
      INDEX(Sheet1!$B$2:$AY$62, , MATCH(nzcathist!B40, Sheet1!$B$1:$AY$1, 0))
    ),
    0
  )
)</f>
        <v>53615.664785563073</v>
      </c>
    </row>
    <row r="41" spans="1:13" x14ac:dyDescent="0.35">
      <c r="A41">
        <v>40</v>
      </c>
      <c r="B41">
        <v>2007</v>
      </c>
      <c r="C41">
        <v>2</v>
      </c>
      <c r="D41" s="1">
        <v>46165</v>
      </c>
      <c r="E41" s="2">
        <v>39225</v>
      </c>
      <c r="F41" t="s">
        <v>118</v>
      </c>
      <c r="G41" t="s">
        <v>17</v>
      </c>
      <c r="H41" t="s">
        <v>119</v>
      </c>
      <c r="I41">
        <v>1.1000000000000001</v>
      </c>
      <c r="J41">
        <v>1.25</v>
      </c>
      <c r="K41">
        <v>1.3</v>
      </c>
      <c r="L41" s="6" t="s">
        <v>120</v>
      </c>
      <c r="M41" s="7" cm="1">
        <f t="array" ref="M41">SUM(
  IFERROR(
    _xlfn.XLOOKUP(
      TRIM(_xlfn.TEXTSPLIT(nzcathist!L41, ",")),
      Sheet1!$A$2:$A$62,
      INDEX(Sheet1!$B$2:$AY$62, , MATCH(nzcathist!B41, Sheet1!$B$1:$AY$1, 0))
    ),
    0
  )
)</f>
        <v>156996.10985455013</v>
      </c>
    </row>
    <row r="42" spans="1:13" ht="43.5" x14ac:dyDescent="0.35">
      <c r="A42">
        <v>41</v>
      </c>
      <c r="B42">
        <v>2007</v>
      </c>
      <c r="C42">
        <v>4</v>
      </c>
      <c r="D42" t="s">
        <v>121</v>
      </c>
      <c r="E42" s="2">
        <v>39378</v>
      </c>
      <c r="F42" t="s">
        <v>122</v>
      </c>
      <c r="G42" t="s">
        <v>123</v>
      </c>
      <c r="H42" t="s">
        <v>124</v>
      </c>
      <c r="I42">
        <v>4.8</v>
      </c>
      <c r="J42">
        <v>5.41</v>
      </c>
      <c r="K42">
        <v>5.57</v>
      </c>
      <c r="L42" s="6" t="s">
        <v>125</v>
      </c>
      <c r="M42" s="7" cm="1">
        <f t="array" ref="M42">SUM(
  IFERROR(
    _xlfn.XLOOKUP(
      TRIM(_xlfn.TEXTSPLIT(nzcathist!L42, ",")),
      Sheet1!$A$2:$A$62,
      INDEX(Sheet1!$B$2:$AY$62, , MATCH(nzcathist!B42, Sheet1!$B$1:$AY$1, 0))
    ),
    0
  )
)</f>
        <v>1073764.6725810177</v>
      </c>
    </row>
    <row r="43" spans="1:13" x14ac:dyDescent="0.35">
      <c r="A43">
        <v>42</v>
      </c>
      <c r="B43">
        <v>2007</v>
      </c>
      <c r="C43">
        <v>4</v>
      </c>
      <c r="D43" s="1">
        <v>46376</v>
      </c>
      <c r="E43" s="2">
        <v>39436</v>
      </c>
      <c r="F43" t="s">
        <v>126</v>
      </c>
      <c r="G43" t="s">
        <v>42</v>
      </c>
      <c r="H43" t="s">
        <v>82</v>
      </c>
      <c r="I43">
        <v>30.5</v>
      </c>
      <c r="J43">
        <v>34.11</v>
      </c>
      <c r="K43">
        <v>35.380000000000003</v>
      </c>
      <c r="L43" s="6" t="s">
        <v>127</v>
      </c>
      <c r="M43" s="7" cm="1">
        <f t="array" ref="M43">SUM(
  IFERROR(
    _xlfn.XLOOKUP(
      TRIM(_xlfn.TEXTSPLIT(nzcathist!L43, ",")),
      Sheet1!$A$2:$A$62,
      INDEX(Sheet1!$B$2:$AY$62, , MATCH(nzcathist!B43, Sheet1!$B$1:$AY$1, 0))
    ),
    0
  )
)</f>
        <v>163964.36929964554</v>
      </c>
    </row>
    <row r="44" spans="1:13" x14ac:dyDescent="0.35">
      <c r="A44">
        <v>43</v>
      </c>
      <c r="B44">
        <v>2007</v>
      </c>
      <c r="C44">
        <v>3</v>
      </c>
      <c r="D44" s="1">
        <v>46220</v>
      </c>
      <c r="E44" s="2">
        <v>39280</v>
      </c>
      <c r="F44" t="s">
        <v>128</v>
      </c>
      <c r="G44" t="s">
        <v>17</v>
      </c>
      <c r="H44" t="s">
        <v>62</v>
      </c>
      <c r="I44">
        <v>1.1000000000000001</v>
      </c>
      <c r="J44">
        <v>1.25</v>
      </c>
      <c r="K44">
        <v>1.29</v>
      </c>
      <c r="L44" s="6" t="s">
        <v>63</v>
      </c>
      <c r="M44" s="7" cm="1">
        <f t="array" ref="M44">SUM(
  IFERROR(
    _xlfn.XLOOKUP(
      TRIM(_xlfn.TEXTSPLIT(nzcathist!L44, ",")),
      Sheet1!$A$2:$A$62,
      INDEX(Sheet1!$B$2:$AY$62, , MATCH(nzcathist!B44, Sheet1!$B$1:$AY$1, 0))
    ),
    0
  )
)</f>
        <v>131447.76457458761</v>
      </c>
    </row>
    <row r="45" spans="1:13" x14ac:dyDescent="0.35">
      <c r="A45">
        <v>44</v>
      </c>
      <c r="B45">
        <v>2007</v>
      </c>
      <c r="C45">
        <v>3</v>
      </c>
      <c r="D45" t="s">
        <v>129</v>
      </c>
      <c r="E45" s="2">
        <v>39273</v>
      </c>
      <c r="F45" t="s">
        <v>130</v>
      </c>
      <c r="G45" t="s">
        <v>31</v>
      </c>
      <c r="H45" t="s">
        <v>131</v>
      </c>
      <c r="I45">
        <v>60.5</v>
      </c>
      <c r="J45">
        <v>68.650000000000006</v>
      </c>
      <c r="K45">
        <v>71.010000000000005</v>
      </c>
      <c r="L45" s="6" t="s">
        <v>132</v>
      </c>
      <c r="M45" s="7" cm="1">
        <f t="array" ref="M45">SUM(
  IFERROR(
    _xlfn.XLOOKUP(
      TRIM(_xlfn.TEXTSPLIT(nzcathist!L45, ",")),
      Sheet1!$A$2:$A$62,
      INDEX(Sheet1!$B$2:$AY$62, , MATCH(nzcathist!B45, Sheet1!$B$1:$AY$1, 0))
    ),
    0
  )
)</f>
        <v>1306258.0583578204</v>
      </c>
    </row>
    <row r="46" spans="1:13" x14ac:dyDescent="0.35">
      <c r="A46">
        <v>45</v>
      </c>
      <c r="B46">
        <v>2007</v>
      </c>
      <c r="C46">
        <v>3</v>
      </c>
      <c r="D46" t="s">
        <v>133</v>
      </c>
      <c r="E46" s="2">
        <v>39270</v>
      </c>
      <c r="F46" t="s">
        <v>134</v>
      </c>
      <c r="G46" t="s">
        <v>123</v>
      </c>
      <c r="H46" t="s">
        <v>135</v>
      </c>
      <c r="I46">
        <v>7</v>
      </c>
      <c r="J46">
        <v>7.94</v>
      </c>
      <c r="K46">
        <v>8.2200000000000006</v>
      </c>
      <c r="L46" s="6" t="s">
        <v>136</v>
      </c>
      <c r="M46" s="7" cm="1">
        <f t="array" ref="M46">SUM(
  IFERROR(
    _xlfn.XLOOKUP(
      TRIM(_xlfn.TEXTSPLIT(nzcathist!L46, ",")),
      Sheet1!$A$2:$A$62,
      INDEX(Sheet1!$B$2:$AY$62, , MATCH(nzcathist!B46, Sheet1!$B$1:$AY$1, 0))
    ),
    0
  )
)</f>
        <v>539926.76230417483</v>
      </c>
    </row>
    <row r="47" spans="1:13" x14ac:dyDescent="0.35">
      <c r="A47">
        <v>46</v>
      </c>
      <c r="B47">
        <v>2007</v>
      </c>
      <c r="C47">
        <v>3</v>
      </c>
      <c r="D47" t="s">
        <v>137</v>
      </c>
      <c r="E47" s="2">
        <v>39267</v>
      </c>
      <c r="F47" t="s">
        <v>138</v>
      </c>
      <c r="G47" t="s">
        <v>56</v>
      </c>
      <c r="H47" t="s">
        <v>138</v>
      </c>
      <c r="I47">
        <v>8.3000000000000007</v>
      </c>
      <c r="J47">
        <v>9.42</v>
      </c>
      <c r="K47">
        <v>9.74</v>
      </c>
      <c r="L47" s="6" t="s">
        <v>139</v>
      </c>
      <c r="M47" s="7" cm="1">
        <f t="array" ref="M47">SUM(
  IFERROR(
    _xlfn.XLOOKUP(
      TRIM(_xlfn.TEXTSPLIT(nzcathist!L47, ",")),
      Sheet1!$A$2:$A$62,
      INDEX(Sheet1!$B$2:$AY$62, , MATCH(nzcathist!B47, Sheet1!$B$1:$AY$1, 0))
    ),
    0
  )
)</f>
        <v>1485911.8898931546</v>
      </c>
    </row>
    <row r="48" spans="1:13" x14ac:dyDescent="0.35">
      <c r="A48">
        <v>47</v>
      </c>
      <c r="B48">
        <v>2006</v>
      </c>
      <c r="C48">
        <v>2</v>
      </c>
      <c r="D48" s="1">
        <v>46138</v>
      </c>
      <c r="E48" s="2">
        <v>38833</v>
      </c>
      <c r="F48" t="s">
        <v>140</v>
      </c>
      <c r="G48" t="s">
        <v>17</v>
      </c>
      <c r="H48" t="s">
        <v>141</v>
      </c>
      <c r="I48">
        <v>1.8</v>
      </c>
      <c r="J48">
        <v>2.11</v>
      </c>
      <c r="K48">
        <v>2.17</v>
      </c>
      <c r="L48" s="6" t="s">
        <v>142</v>
      </c>
      <c r="M48" s="7" cm="1">
        <f t="array" ref="M48">SUM(
  IFERROR(
    _xlfn.XLOOKUP(
      TRIM(_xlfn.TEXTSPLIT(nzcathist!L48, ",")),
      Sheet1!$A$2:$A$62,
      INDEX(Sheet1!$B$2:$AY$62, , MATCH(nzcathist!B48, Sheet1!$B$1:$AY$1, 0))
    ),
    0
  )
)</f>
        <v>129579</v>
      </c>
    </row>
    <row r="49" spans="1:13" x14ac:dyDescent="0.35">
      <c r="A49">
        <v>48</v>
      </c>
      <c r="B49">
        <v>2006</v>
      </c>
      <c r="C49">
        <v>2</v>
      </c>
      <c r="D49" s="1">
        <v>46185</v>
      </c>
      <c r="E49" s="2">
        <v>38880</v>
      </c>
      <c r="F49" t="s">
        <v>143</v>
      </c>
      <c r="G49" t="s">
        <v>31</v>
      </c>
      <c r="H49" t="s">
        <v>144</v>
      </c>
      <c r="I49">
        <v>42.5</v>
      </c>
      <c r="J49">
        <v>49.36</v>
      </c>
      <c r="K49">
        <v>51.13</v>
      </c>
      <c r="L49" s="6" t="s">
        <v>24</v>
      </c>
      <c r="M49" s="7" cm="1">
        <f t="array" ref="M49">SUM(
  IFERROR(
    _xlfn.XLOOKUP(
      TRIM(_xlfn.TEXTSPLIT(nzcathist!L49, ",")),
      Sheet1!$A$2:$A$62,
      INDEX(Sheet1!$B$2:$AY$62, , MATCH(nzcathist!B49, Sheet1!$B$1:$AY$1, 0))
    ),
    0
  )
)</f>
        <v>4185880</v>
      </c>
    </row>
    <row r="50" spans="1:13" x14ac:dyDescent="0.35">
      <c r="A50">
        <v>49</v>
      </c>
      <c r="B50">
        <v>2006</v>
      </c>
      <c r="C50">
        <v>4</v>
      </c>
      <c r="D50" s="1">
        <v>46335</v>
      </c>
      <c r="E50" s="2">
        <v>39030</v>
      </c>
      <c r="F50" t="s">
        <v>145</v>
      </c>
      <c r="G50" t="s">
        <v>31</v>
      </c>
      <c r="H50" t="s">
        <v>146</v>
      </c>
      <c r="I50">
        <v>3.4</v>
      </c>
      <c r="J50">
        <v>3.91</v>
      </c>
      <c r="K50">
        <v>4.07</v>
      </c>
      <c r="L50" s="6" t="s">
        <v>66</v>
      </c>
      <c r="M50" s="7" cm="1">
        <f t="array" ref="M50">SUM(
  IFERROR(
    _xlfn.XLOOKUP(
      TRIM(_xlfn.TEXTSPLIT(nzcathist!L50, ",")),
      Sheet1!$A$2:$A$62,
      INDEX(Sheet1!$B$2:$AY$62, , MATCH(nzcathist!B50, Sheet1!$B$1:$AY$1, 0))
    ),
    0
  )
)</f>
        <v>1649369</v>
      </c>
    </row>
    <row r="51" spans="1:13" x14ac:dyDescent="0.35">
      <c r="A51">
        <v>50</v>
      </c>
      <c r="B51">
        <v>2006</v>
      </c>
      <c r="C51">
        <v>3</v>
      </c>
      <c r="D51" t="s">
        <v>147</v>
      </c>
      <c r="E51" s="2">
        <v>38903</v>
      </c>
      <c r="F51" t="s">
        <v>148</v>
      </c>
      <c r="G51" t="s">
        <v>26</v>
      </c>
      <c r="H51" t="s">
        <v>149</v>
      </c>
      <c r="I51">
        <v>2.7</v>
      </c>
      <c r="J51">
        <v>3.13</v>
      </c>
      <c r="K51">
        <v>3.23</v>
      </c>
      <c r="L51" s="6" t="s">
        <v>150</v>
      </c>
      <c r="M51" s="7" cm="1">
        <f t="array" ref="M51">SUM(
  IFERROR(
    _xlfn.XLOOKUP(
      TRIM(_xlfn.TEXTSPLIT(nzcathist!L51, ",")),
      Sheet1!$A$2:$A$62,
      INDEX(Sheet1!$B$2:$AY$62, , MATCH(nzcathist!B51, Sheet1!$B$1:$AY$1, 0))
    ),
    0
  )
)</f>
        <v>562135</v>
      </c>
    </row>
    <row r="52" spans="1:13" x14ac:dyDescent="0.35">
      <c r="A52">
        <v>51</v>
      </c>
      <c r="B52">
        <v>2005</v>
      </c>
      <c r="C52">
        <v>1</v>
      </c>
      <c r="D52" t="s">
        <v>14</v>
      </c>
      <c r="E52" t="s">
        <v>14</v>
      </c>
      <c r="F52" t="s">
        <v>151</v>
      </c>
      <c r="G52" t="s">
        <v>123</v>
      </c>
      <c r="H52" t="s">
        <v>152</v>
      </c>
      <c r="I52">
        <v>0</v>
      </c>
      <c r="J52">
        <v>0.03</v>
      </c>
      <c r="K52">
        <v>0</v>
      </c>
      <c r="L52" s="6" t="s">
        <v>153</v>
      </c>
      <c r="M52" s="7" cm="1">
        <f t="array" ref="M52">SUM(
  IFERROR(
    _xlfn.XLOOKUP(
      TRIM(_xlfn.TEXTSPLIT(nzcathist!L52, ",")),
      Sheet1!$A$2:$A$62,
      INDEX(Sheet1!$B$2:$AY$62, , MATCH(nzcathist!B52, Sheet1!$B$1:$AY$1, 0))
    ),
    0
  )
)</f>
        <v>117935.5</v>
      </c>
    </row>
    <row r="53" spans="1:13" x14ac:dyDescent="0.35">
      <c r="A53">
        <v>52</v>
      </c>
      <c r="B53">
        <v>2005</v>
      </c>
      <c r="C53">
        <v>1</v>
      </c>
      <c r="D53" s="1">
        <v>46112</v>
      </c>
      <c r="E53" s="2">
        <v>38442</v>
      </c>
      <c r="F53" t="s">
        <v>154</v>
      </c>
      <c r="G53" t="s">
        <v>17</v>
      </c>
      <c r="H53" t="s">
        <v>155</v>
      </c>
      <c r="I53">
        <v>0.6</v>
      </c>
      <c r="J53">
        <v>0.73</v>
      </c>
      <c r="K53">
        <v>0.76</v>
      </c>
      <c r="L53" s="6" t="s">
        <v>85</v>
      </c>
      <c r="M53" s="7" cm="1">
        <f t="array" ref="M53">SUM(
  IFERROR(
    _xlfn.XLOOKUP(
      TRIM(_xlfn.TEXTSPLIT(nzcathist!L53, ",")),
      Sheet1!$A$2:$A$62,
      INDEX(Sheet1!$B$2:$AY$62, , MATCH(nzcathist!B53, Sheet1!$B$1:$AY$1, 0))
    ),
    0
  )
)</f>
        <v>553357.20000000007</v>
      </c>
    </row>
    <row r="54" spans="1:13" x14ac:dyDescent="0.35">
      <c r="A54">
        <v>53</v>
      </c>
      <c r="B54">
        <v>2005</v>
      </c>
      <c r="C54">
        <v>1</v>
      </c>
      <c r="D54" s="1">
        <v>46106</v>
      </c>
      <c r="E54" s="2">
        <v>38436</v>
      </c>
      <c r="F54" t="s">
        <v>156</v>
      </c>
      <c r="G54" t="s">
        <v>31</v>
      </c>
      <c r="H54" t="s">
        <v>97</v>
      </c>
      <c r="I54">
        <v>0.9</v>
      </c>
      <c r="J54">
        <v>1.0900000000000001</v>
      </c>
      <c r="K54">
        <v>1.1399999999999999</v>
      </c>
      <c r="L54" s="6" t="s">
        <v>98</v>
      </c>
      <c r="M54" s="7" cm="1">
        <f t="array" ref="M54">SUM(
  IFERROR(
    _xlfn.XLOOKUP(
      TRIM(_xlfn.TEXTSPLIT(nzcathist!L54, ",")),
      Sheet1!$A$2:$A$62,
      INDEX(Sheet1!$B$2:$AY$62, , MATCH(nzcathist!B54, Sheet1!$B$1:$AY$1, 0))
    ),
    0
  )
)</f>
        <v>177455.1</v>
      </c>
    </row>
    <row r="55" spans="1:13" x14ac:dyDescent="0.35">
      <c r="A55">
        <v>54</v>
      </c>
      <c r="B55">
        <v>2005</v>
      </c>
      <c r="C55">
        <v>4</v>
      </c>
      <c r="D55" s="1">
        <v>46318</v>
      </c>
      <c r="E55" s="2">
        <v>38648</v>
      </c>
      <c r="F55" t="s">
        <v>157</v>
      </c>
      <c r="G55" t="s">
        <v>17</v>
      </c>
      <c r="H55" t="s">
        <v>158</v>
      </c>
      <c r="I55">
        <v>0.7</v>
      </c>
      <c r="J55">
        <v>0.83</v>
      </c>
      <c r="K55">
        <v>0.86</v>
      </c>
      <c r="L55" s="6" t="s">
        <v>82</v>
      </c>
      <c r="M55" s="7" cm="1">
        <f t="array" ref="M55">SUM(
  IFERROR(
    _xlfn.XLOOKUP(
      TRIM(_xlfn.TEXTSPLIT(nzcathist!L55, ",")),
      Sheet1!$A$2:$A$62,
      INDEX(Sheet1!$B$2:$AY$62, , MATCH(nzcathist!B55, Sheet1!$B$1:$AY$1, 0))
    ),
    0
  )
)</f>
        <v>32541.4</v>
      </c>
    </row>
    <row r="56" spans="1:13" x14ac:dyDescent="0.35">
      <c r="A56">
        <v>55</v>
      </c>
      <c r="B56">
        <v>2005</v>
      </c>
      <c r="C56">
        <v>1</v>
      </c>
      <c r="D56" t="s">
        <v>159</v>
      </c>
      <c r="E56" s="2">
        <v>38434</v>
      </c>
      <c r="F56" t="s">
        <v>160</v>
      </c>
      <c r="G56" t="s">
        <v>96</v>
      </c>
      <c r="H56" t="s">
        <v>161</v>
      </c>
      <c r="I56">
        <v>13</v>
      </c>
      <c r="J56">
        <v>15.8</v>
      </c>
      <c r="K56">
        <v>16.399999999999999</v>
      </c>
      <c r="L56" s="6" t="s">
        <v>162</v>
      </c>
      <c r="M56" s="7" cm="1">
        <f t="array" ref="M56">SUM(
  IFERROR(
    _xlfn.XLOOKUP(
      TRIM(_xlfn.TEXTSPLIT(nzcathist!L56, ",")),
      Sheet1!$A$2:$A$62,
      INDEX(Sheet1!$B$2:$AY$62, , MATCH(nzcathist!B56, Sheet1!$B$1:$AY$1, 0))
    ),
    0
  )
)</f>
        <v>416687.5</v>
      </c>
    </row>
    <row r="57" spans="1:13" x14ac:dyDescent="0.35">
      <c r="A57">
        <v>56</v>
      </c>
      <c r="B57">
        <v>2005</v>
      </c>
      <c r="C57">
        <v>2</v>
      </c>
      <c r="D57" s="1">
        <v>46160</v>
      </c>
      <c r="E57" s="2">
        <v>38490</v>
      </c>
      <c r="F57" t="s">
        <v>163</v>
      </c>
      <c r="G57" t="s">
        <v>123</v>
      </c>
      <c r="H57" t="s">
        <v>163</v>
      </c>
      <c r="I57">
        <v>28.5</v>
      </c>
      <c r="J57">
        <v>34.46</v>
      </c>
      <c r="K57">
        <v>35.65</v>
      </c>
      <c r="L57" s="6" t="s">
        <v>164</v>
      </c>
      <c r="M57" s="7" cm="1">
        <f t="array" ref="M57">SUM(
  IFERROR(
    _xlfn.XLOOKUP(
      TRIM(_xlfn.TEXTSPLIT(nzcathist!L57, ",")),
      Sheet1!$A$2:$A$62,
      INDEX(Sheet1!$B$2:$AY$62, , MATCH(nzcathist!B57, Sheet1!$B$1:$AY$1, 0))
    ),
    0
  )
)</f>
        <v>177455.1</v>
      </c>
    </row>
    <row r="58" spans="1:13" x14ac:dyDescent="0.35">
      <c r="A58">
        <v>57</v>
      </c>
      <c r="B58">
        <v>2005</v>
      </c>
      <c r="C58">
        <v>1</v>
      </c>
      <c r="D58" s="1">
        <v>46091</v>
      </c>
      <c r="E58" s="2">
        <v>38421</v>
      </c>
      <c r="F58" t="s">
        <v>165</v>
      </c>
      <c r="G58" t="s">
        <v>56</v>
      </c>
      <c r="H58" t="s">
        <v>166</v>
      </c>
      <c r="I58">
        <v>9.1999999999999993</v>
      </c>
      <c r="J58">
        <v>11.19</v>
      </c>
      <c r="K58">
        <v>11.61</v>
      </c>
      <c r="L58" s="6" t="s">
        <v>167</v>
      </c>
      <c r="M58" s="7" cm="1">
        <f t="array" ref="M58">SUM(
  IFERROR(
    _xlfn.XLOOKUP(
      TRIM(_xlfn.TEXTSPLIT(nzcathist!L58, ",")),
      Sheet1!$A$2:$A$62,
      INDEX(Sheet1!$B$2:$AY$62, , MATCH(nzcathist!B58, Sheet1!$B$1:$AY$1, 0))
    ),
    0
  )
)</f>
        <v>17247.599999999999</v>
      </c>
    </row>
    <row r="59" spans="1:13" x14ac:dyDescent="0.35">
      <c r="A59">
        <v>58</v>
      </c>
      <c r="B59">
        <v>2005</v>
      </c>
      <c r="C59">
        <v>1</v>
      </c>
      <c r="D59" s="1">
        <v>46060</v>
      </c>
      <c r="E59" s="2">
        <v>38390</v>
      </c>
      <c r="F59" t="s">
        <v>168</v>
      </c>
      <c r="G59" t="s">
        <v>31</v>
      </c>
      <c r="H59" t="s">
        <v>169</v>
      </c>
      <c r="I59">
        <v>5</v>
      </c>
      <c r="J59">
        <v>6.09</v>
      </c>
      <c r="K59">
        <v>6.31</v>
      </c>
      <c r="L59" s="6" t="s">
        <v>170</v>
      </c>
      <c r="M59" s="7" cm="1">
        <f t="array" ref="M59">SUM(
  IFERROR(
    _xlfn.XLOOKUP(
      TRIM(_xlfn.TEXTSPLIT(nzcathist!L59, ",")),
      Sheet1!$A$2:$A$62,
      INDEX(Sheet1!$B$2:$AY$62, , MATCH(nzcathist!B59, Sheet1!$B$1:$AY$1, 0))
    ),
    0
  )
)</f>
        <v>117365.4</v>
      </c>
    </row>
    <row r="60" spans="1:13" x14ac:dyDescent="0.35">
      <c r="A60">
        <v>59</v>
      </c>
      <c r="B60">
        <v>2005</v>
      </c>
      <c r="C60">
        <v>1</v>
      </c>
      <c r="D60" s="1">
        <v>46028</v>
      </c>
      <c r="E60" s="2">
        <v>38358</v>
      </c>
      <c r="F60" t="s">
        <v>171</v>
      </c>
      <c r="G60" t="s">
        <v>17</v>
      </c>
      <c r="H60" t="s">
        <v>172</v>
      </c>
      <c r="I60">
        <v>2.5</v>
      </c>
      <c r="J60">
        <v>3.05</v>
      </c>
      <c r="K60">
        <v>3.15</v>
      </c>
      <c r="L60" s="6" t="s">
        <v>173</v>
      </c>
      <c r="M60" s="7" cm="1">
        <f t="array" ref="M60">SUM(
  IFERROR(
    _xlfn.XLOOKUP(
      TRIM(_xlfn.TEXTSPLIT(nzcathist!L60, ",")),
      Sheet1!$A$2:$A$62,
      INDEX(Sheet1!$B$2:$AY$62, , MATCH(nzcathist!B60, Sheet1!$B$1:$AY$1, 0))
    ),
    0
  )
)</f>
        <v>420607.00000000006</v>
      </c>
    </row>
    <row r="61" spans="1:13" ht="58" x14ac:dyDescent="0.35">
      <c r="A61">
        <v>60</v>
      </c>
      <c r="B61">
        <v>2004</v>
      </c>
      <c r="C61">
        <v>1</v>
      </c>
      <c r="D61" t="s">
        <v>174</v>
      </c>
      <c r="E61" s="2">
        <v>38006</v>
      </c>
      <c r="F61" t="s">
        <v>175</v>
      </c>
      <c r="G61" t="s">
        <v>31</v>
      </c>
      <c r="H61" t="s">
        <v>49</v>
      </c>
      <c r="I61">
        <v>0.75</v>
      </c>
      <c r="J61">
        <v>0.94</v>
      </c>
      <c r="K61">
        <v>0.97</v>
      </c>
      <c r="L61" s="6" t="s">
        <v>50</v>
      </c>
      <c r="M61" s="7" cm="1">
        <f t="array" ref="M61">SUM(
  IFERROR(
    _xlfn.XLOOKUP(
      TRIM(_xlfn.TEXTSPLIT(nzcathist!L61, ",")),
      Sheet1!$A$2:$A$62,
      INDEX(Sheet1!$B$2:$AY$62, , MATCH(nzcathist!B61, Sheet1!$B$1:$AY$1, 0))
    ),
    0
  )
)</f>
        <v>2439521.7999999998</v>
      </c>
    </row>
    <row r="62" spans="1:13" x14ac:dyDescent="0.35">
      <c r="A62">
        <v>61</v>
      </c>
      <c r="B62">
        <v>2004</v>
      </c>
      <c r="C62">
        <v>4</v>
      </c>
      <c r="D62" s="1">
        <v>46313</v>
      </c>
      <c r="E62" s="2">
        <v>38278</v>
      </c>
      <c r="F62" t="s">
        <v>176</v>
      </c>
      <c r="G62" t="s">
        <v>17</v>
      </c>
      <c r="H62" t="s">
        <v>62</v>
      </c>
      <c r="I62">
        <v>4.8</v>
      </c>
      <c r="J62">
        <v>5.9</v>
      </c>
      <c r="K62">
        <v>6.08</v>
      </c>
      <c r="L62" s="6" t="s">
        <v>63</v>
      </c>
      <c r="M62" s="7" cm="1">
        <f t="array" ref="M62">SUM(
  IFERROR(
    _xlfn.XLOOKUP(
      TRIM(_xlfn.TEXTSPLIT(nzcathist!L62, ",")),
      Sheet1!$A$2:$A$62,
      INDEX(Sheet1!$B$2:$AY$62, , MATCH(nzcathist!B62, Sheet1!$B$1:$AY$1, 0))
    ),
    0
  )
)</f>
        <v>130370.40000000001</v>
      </c>
    </row>
    <row r="63" spans="1:13" x14ac:dyDescent="0.35">
      <c r="A63">
        <v>62</v>
      </c>
      <c r="B63">
        <v>2004</v>
      </c>
      <c r="C63">
        <v>3</v>
      </c>
      <c r="D63" t="s">
        <v>177</v>
      </c>
      <c r="E63" s="2">
        <v>38185</v>
      </c>
      <c r="F63" t="s">
        <v>178</v>
      </c>
      <c r="G63" t="s">
        <v>17</v>
      </c>
      <c r="H63" t="s">
        <v>178</v>
      </c>
      <c r="I63">
        <v>17.600000000000001</v>
      </c>
      <c r="J63">
        <v>21.77</v>
      </c>
      <c r="K63">
        <v>22.5</v>
      </c>
      <c r="L63" s="6" t="s">
        <v>179</v>
      </c>
      <c r="M63" s="7" cm="1">
        <f t="array" ref="M63">SUM(
  IFERROR(
    _xlfn.XLOOKUP(
      TRIM(_xlfn.TEXTSPLIT(nzcathist!L63, ",")),
      Sheet1!$A$2:$A$62,
      INDEX(Sheet1!$B$2:$AY$62, , MATCH(nzcathist!B63, Sheet1!$B$1:$AY$1, 0))
    ),
    0
  )
)</f>
        <v>174708.2</v>
      </c>
    </row>
    <row r="64" spans="1:13" x14ac:dyDescent="0.35">
      <c r="A64">
        <v>63</v>
      </c>
      <c r="B64">
        <v>2004</v>
      </c>
      <c r="C64">
        <v>3</v>
      </c>
      <c r="D64" t="s">
        <v>180</v>
      </c>
      <c r="E64" s="2">
        <v>38214</v>
      </c>
      <c r="F64" t="s">
        <v>181</v>
      </c>
      <c r="G64" t="s">
        <v>31</v>
      </c>
      <c r="H64" t="s">
        <v>23</v>
      </c>
      <c r="I64">
        <v>8.6999999999999993</v>
      </c>
      <c r="J64">
        <v>10.74</v>
      </c>
      <c r="K64">
        <v>11.12</v>
      </c>
      <c r="L64" s="6" t="s">
        <v>24</v>
      </c>
      <c r="M64" s="7" cm="1">
        <f t="array" ref="M64">SUM(
  IFERROR(
    _xlfn.XLOOKUP(
      TRIM(_xlfn.TEXTSPLIT(nzcathist!L64, ",")),
      Sheet1!$A$2:$A$62,
      INDEX(Sheet1!$B$2:$AY$62, , MATCH(nzcathist!B64, Sheet1!$B$1:$AY$1, 0))
    ),
    0
  )
)</f>
        <v>4080420</v>
      </c>
    </row>
    <row r="65" spans="1:13" x14ac:dyDescent="0.35">
      <c r="A65">
        <v>64</v>
      </c>
      <c r="B65">
        <v>2004</v>
      </c>
      <c r="C65">
        <v>1</v>
      </c>
      <c r="D65" t="s">
        <v>182</v>
      </c>
      <c r="E65" s="2">
        <v>38032</v>
      </c>
      <c r="F65" t="s">
        <v>183</v>
      </c>
      <c r="G65" t="s">
        <v>31</v>
      </c>
      <c r="H65" t="s">
        <v>155</v>
      </c>
      <c r="I65">
        <v>112</v>
      </c>
      <c r="J65">
        <v>140.06</v>
      </c>
      <c r="K65">
        <v>145.25</v>
      </c>
      <c r="L65" s="6" t="s">
        <v>150</v>
      </c>
      <c r="M65" s="7" cm="1">
        <f t="array" ref="M65">SUM(
  IFERROR(
    _xlfn.XLOOKUP(
      TRIM(_xlfn.TEXTSPLIT(nzcathist!L65, ",")),
      Sheet1!$A$2:$A$62,
      INDEX(Sheet1!$B$2:$AY$62, , MATCH(nzcathist!B65, Sheet1!$B$1:$AY$1, 0))
    ),
    0
  )
)</f>
        <v>556226.4</v>
      </c>
    </row>
    <row r="66" spans="1:13" x14ac:dyDescent="0.35">
      <c r="A66">
        <v>65</v>
      </c>
      <c r="B66">
        <v>2004</v>
      </c>
      <c r="C66">
        <v>2</v>
      </c>
      <c r="D66" s="1">
        <v>46118</v>
      </c>
      <c r="E66" s="2">
        <v>38083</v>
      </c>
      <c r="F66" t="s">
        <v>184</v>
      </c>
      <c r="G66" t="s">
        <v>96</v>
      </c>
      <c r="H66" t="s">
        <v>185</v>
      </c>
      <c r="I66">
        <v>1.3</v>
      </c>
      <c r="J66">
        <v>1.62</v>
      </c>
      <c r="K66">
        <v>1.67</v>
      </c>
      <c r="L66" s="6" t="s">
        <v>186</v>
      </c>
      <c r="M66" s="7" cm="1">
        <f t="array" ref="M66">SUM(
  IFERROR(
    _xlfn.XLOOKUP(
      TRIM(_xlfn.TEXTSPLIT(nzcathist!L66, ",")),
      Sheet1!$A$2:$A$62,
      INDEX(Sheet1!$B$2:$AY$62, , MATCH(nzcathist!B66, Sheet1!$B$1:$AY$1, 0))
    ),
    0
  )
)</f>
        <v>138821.4</v>
      </c>
    </row>
    <row r="67" spans="1:13" x14ac:dyDescent="0.35">
      <c r="A67">
        <v>66</v>
      </c>
      <c r="B67">
        <v>2003</v>
      </c>
      <c r="C67">
        <v>2</v>
      </c>
      <c r="D67" t="s">
        <v>187</v>
      </c>
      <c r="E67" s="2">
        <v>37781</v>
      </c>
      <c r="F67" t="s">
        <v>188</v>
      </c>
      <c r="G67" t="s">
        <v>26</v>
      </c>
      <c r="H67" t="s">
        <v>155</v>
      </c>
      <c r="I67">
        <v>1</v>
      </c>
      <c r="J67">
        <v>1.27</v>
      </c>
      <c r="K67">
        <v>1.32</v>
      </c>
      <c r="L67" s="6" t="s">
        <v>150</v>
      </c>
      <c r="M67" s="7" cm="1">
        <f t="array" ref="M67">SUM(
  IFERROR(
    _xlfn.XLOOKUP(
      TRIM(_xlfn.TEXTSPLIT(nzcathist!L67, ",")),
      Sheet1!$A$2:$A$62,
      INDEX(Sheet1!$B$2:$AY$62, , MATCH(nzcathist!B67, Sheet1!$B$1:$AY$1, 0))
    ),
    0
  )
)</f>
        <v>553272.1</v>
      </c>
    </row>
    <row r="68" spans="1:13" x14ac:dyDescent="0.35">
      <c r="A68">
        <v>67</v>
      </c>
      <c r="B68">
        <v>2003</v>
      </c>
      <c r="C68">
        <v>4</v>
      </c>
      <c r="D68" t="s">
        <v>189</v>
      </c>
      <c r="E68" s="2">
        <v>37897</v>
      </c>
      <c r="F68" t="s">
        <v>190</v>
      </c>
      <c r="G68" t="s">
        <v>26</v>
      </c>
      <c r="H68" t="s">
        <v>144</v>
      </c>
      <c r="I68">
        <v>2.2999999999999998</v>
      </c>
      <c r="J68">
        <v>2.9</v>
      </c>
      <c r="K68">
        <v>2.99</v>
      </c>
      <c r="L68" s="6" t="s">
        <v>24</v>
      </c>
      <c r="M68" s="7" cm="1">
        <f t="array" ref="M68">SUM(
  IFERROR(
    _xlfn.XLOOKUP(
      TRIM(_xlfn.TEXTSPLIT(nzcathist!L68, ",")),
      Sheet1!$A$2:$A$62,
      INDEX(Sheet1!$B$2:$AY$62, , MATCH(nzcathist!B68, Sheet1!$B$1:$AY$1, 0))
    ),
    0
  )
)</f>
        <v>4022070</v>
      </c>
    </row>
    <row r="69" spans="1:13" ht="58" x14ac:dyDescent="0.35">
      <c r="A69">
        <v>68</v>
      </c>
      <c r="B69">
        <v>2002</v>
      </c>
      <c r="C69">
        <v>2</v>
      </c>
      <c r="D69" s="1">
        <v>46194</v>
      </c>
      <c r="E69" s="2">
        <v>37428</v>
      </c>
      <c r="F69" t="s">
        <v>191</v>
      </c>
      <c r="G69" t="s">
        <v>26</v>
      </c>
      <c r="H69" t="s">
        <v>49</v>
      </c>
      <c r="I69">
        <v>21.5</v>
      </c>
      <c r="J69">
        <v>27.69</v>
      </c>
      <c r="K69">
        <v>28.73</v>
      </c>
      <c r="L69" s="6" t="s">
        <v>50</v>
      </c>
      <c r="M69" s="7" cm="1">
        <f t="array" ref="M69">SUM(
  IFERROR(
    _xlfn.XLOOKUP(
      TRIM(_xlfn.TEXTSPLIT(nzcathist!L69, ",")),
      Sheet1!$A$2:$A$62,
      INDEX(Sheet1!$B$2:$AY$62, , MATCH(nzcathist!B69, Sheet1!$B$1:$AY$1, 0))
    ),
    0
  )
)</f>
        <v>2379162.6</v>
      </c>
    </row>
    <row r="70" spans="1:13" x14ac:dyDescent="0.35">
      <c r="A70">
        <v>69</v>
      </c>
      <c r="B70">
        <v>2002</v>
      </c>
      <c r="C70">
        <v>1</v>
      </c>
      <c r="D70" s="1">
        <v>46039</v>
      </c>
      <c r="E70" s="2">
        <v>37273</v>
      </c>
      <c r="F70" t="s">
        <v>192</v>
      </c>
      <c r="G70" t="s">
        <v>17</v>
      </c>
      <c r="H70" t="s">
        <v>169</v>
      </c>
      <c r="I70">
        <v>0.3</v>
      </c>
      <c r="J70">
        <v>0.39</v>
      </c>
      <c r="K70">
        <v>0.41</v>
      </c>
      <c r="L70" s="6" t="s">
        <v>170</v>
      </c>
      <c r="M70" s="7" cm="1">
        <f t="array" ref="M70">SUM(
  IFERROR(
    _xlfn.XLOOKUP(
      TRIM(_xlfn.TEXTSPLIT(nzcathist!L70, ",")),
      Sheet1!$A$2:$A$62,
      INDEX(Sheet1!$B$2:$AY$62, , MATCH(nzcathist!B70, Sheet1!$B$1:$AY$1, 0))
    ),
    0
  )
)</f>
        <v>117876.6</v>
      </c>
    </row>
    <row r="71" spans="1:13" x14ac:dyDescent="0.35">
      <c r="A71">
        <v>70</v>
      </c>
      <c r="B71">
        <v>2002</v>
      </c>
      <c r="C71">
        <v>1</v>
      </c>
      <c r="D71" s="1">
        <v>46036</v>
      </c>
      <c r="E71" s="2">
        <v>37270</v>
      </c>
      <c r="F71" t="s">
        <v>193</v>
      </c>
      <c r="G71" t="s">
        <v>17</v>
      </c>
      <c r="H71" t="s">
        <v>32</v>
      </c>
      <c r="I71">
        <v>0.25</v>
      </c>
      <c r="J71">
        <v>0.33</v>
      </c>
      <c r="K71">
        <v>0.34</v>
      </c>
      <c r="L71" s="6" t="s">
        <v>115</v>
      </c>
      <c r="M71" s="7" cm="1">
        <f t="array" ref="M71">SUM(
  IFERROR(
    _xlfn.XLOOKUP(
      TRIM(_xlfn.TEXTSPLIT(nzcathist!L71, ",")),
      Sheet1!$A$2:$A$62,
      INDEX(Sheet1!$B$2:$AY$62, , MATCH(nzcathist!B71, Sheet1!$B$1:$AY$1, 0))
    ),
    0
  )
)</f>
        <v>425043.4</v>
      </c>
    </row>
    <row r="72" spans="1:13" x14ac:dyDescent="0.35">
      <c r="A72">
        <v>71</v>
      </c>
      <c r="B72">
        <v>2002</v>
      </c>
      <c r="C72">
        <v>1</v>
      </c>
      <c r="D72" s="1">
        <v>46032</v>
      </c>
      <c r="E72" s="2">
        <v>37266</v>
      </c>
      <c r="F72" t="s">
        <v>194</v>
      </c>
      <c r="G72" t="s">
        <v>17</v>
      </c>
      <c r="H72" t="s">
        <v>195</v>
      </c>
      <c r="I72">
        <v>0.6</v>
      </c>
      <c r="J72">
        <v>0.78</v>
      </c>
      <c r="K72">
        <v>0.81</v>
      </c>
      <c r="L72" s="6" t="s">
        <v>85</v>
      </c>
      <c r="M72" s="7" cm="1">
        <f t="array" ref="M72">SUM(
  IFERROR(
    _xlfn.XLOOKUP(
      TRIM(_xlfn.TEXTSPLIT(nzcathist!L72, ",")),
      Sheet1!$A$2:$A$62,
      INDEX(Sheet1!$B$2:$AY$62, , MATCH(nzcathist!B72, Sheet1!$B$1:$AY$1, 0))
    ),
    0
  )
)</f>
        <v>544096.79999999993</v>
      </c>
    </row>
    <row r="73" spans="1:13" x14ac:dyDescent="0.35">
      <c r="A73">
        <v>72</v>
      </c>
      <c r="B73">
        <v>2002</v>
      </c>
      <c r="C73">
        <v>1</v>
      </c>
      <c r="D73" s="1">
        <v>46027</v>
      </c>
      <c r="E73" s="2">
        <v>37261</v>
      </c>
      <c r="F73" t="s">
        <v>196</v>
      </c>
      <c r="G73" t="s">
        <v>96</v>
      </c>
      <c r="H73" t="s">
        <v>32</v>
      </c>
      <c r="I73">
        <v>3</v>
      </c>
      <c r="J73">
        <v>3.92</v>
      </c>
      <c r="K73">
        <v>4.05</v>
      </c>
      <c r="L73" s="6" t="s">
        <v>197</v>
      </c>
      <c r="M73" s="7" cm="1">
        <f t="array" ref="M73">SUM(
  IFERROR(
    _xlfn.XLOOKUP(
      TRIM(_xlfn.TEXTSPLIT(nzcathist!L73, ",")),
      Sheet1!$A$2:$A$62,
      INDEX(Sheet1!$B$2:$AY$62, , MATCH(nzcathist!B73, Sheet1!$B$1:$AY$1, 0))
    ),
    0
  )
)</f>
        <v>407407</v>
      </c>
    </row>
    <row r="74" spans="1:13" x14ac:dyDescent="0.35">
      <c r="A74">
        <v>73</v>
      </c>
      <c r="B74">
        <v>2001</v>
      </c>
      <c r="C74">
        <v>4</v>
      </c>
      <c r="D74" s="1">
        <v>46366</v>
      </c>
      <c r="E74" s="2">
        <v>37235</v>
      </c>
      <c r="F74" t="s">
        <v>198</v>
      </c>
      <c r="G74" t="s">
        <v>17</v>
      </c>
      <c r="H74" t="s">
        <v>195</v>
      </c>
      <c r="I74">
        <v>0.6</v>
      </c>
      <c r="J74">
        <v>0.79</v>
      </c>
      <c r="K74">
        <v>0.81</v>
      </c>
      <c r="L74" s="6" t="s">
        <v>173</v>
      </c>
      <c r="M74" s="7" cm="1">
        <f t="array" ref="M74">SUM(
  IFERROR(
    _xlfn.XLOOKUP(
      TRIM(_xlfn.TEXTSPLIT(nzcathist!L74, ",")),
      Sheet1!$A$2:$A$62,
      INDEX(Sheet1!$B$2:$AY$62, , MATCH(nzcathist!B74, Sheet1!$B$1:$AY$1, 0))
    ),
    0
  )
)</f>
        <v>407799</v>
      </c>
    </row>
    <row r="75" spans="1:13" x14ac:dyDescent="0.35">
      <c r="A75">
        <v>74</v>
      </c>
      <c r="B75">
        <v>2001</v>
      </c>
      <c r="C75">
        <v>1</v>
      </c>
      <c r="D75" s="1">
        <v>46029</v>
      </c>
      <c r="E75" s="2">
        <v>36898</v>
      </c>
      <c r="F75" t="s">
        <v>199</v>
      </c>
      <c r="G75" t="s">
        <v>96</v>
      </c>
      <c r="H75" t="s">
        <v>200</v>
      </c>
      <c r="I75">
        <v>1.5</v>
      </c>
      <c r="J75">
        <v>2</v>
      </c>
      <c r="K75">
        <v>2.08</v>
      </c>
      <c r="L75" s="6" t="s">
        <v>201</v>
      </c>
      <c r="M75" s="7" cm="1">
        <f t="array" ref="M75">SUM(
  IFERROR(
    _xlfn.XLOOKUP(
      TRIM(_xlfn.TEXTSPLIT(nzcathist!L75, ",")),
      Sheet1!$A$2:$A$62,
      INDEX(Sheet1!$B$2:$AY$62, , MATCH(nzcathist!B75, Sheet1!$B$1:$AY$1, 0))
    ),
    0
  )
)</f>
        <v>407799</v>
      </c>
    </row>
    <row r="76" spans="1:13" ht="58" x14ac:dyDescent="0.35">
      <c r="A76">
        <v>75</v>
      </c>
      <c r="B76">
        <v>2001</v>
      </c>
      <c r="C76">
        <v>4</v>
      </c>
      <c r="D76" s="1">
        <v>46330</v>
      </c>
      <c r="E76" s="2">
        <v>37199</v>
      </c>
      <c r="F76" t="s">
        <v>202</v>
      </c>
      <c r="G76" t="s">
        <v>31</v>
      </c>
      <c r="H76" t="s">
        <v>49</v>
      </c>
      <c r="I76">
        <v>0.5</v>
      </c>
      <c r="J76">
        <v>0.66</v>
      </c>
      <c r="K76">
        <v>0.68</v>
      </c>
      <c r="L76" s="6" t="s">
        <v>50</v>
      </c>
      <c r="M76" s="7" cm="1">
        <f t="array" ref="M76">SUM(
  IFERROR(
    _xlfn.XLOOKUP(
      TRIM(_xlfn.TEXTSPLIT(nzcathist!L76, ",")),
      Sheet1!$A$2:$A$62,
      INDEX(Sheet1!$B$2:$AY$62, , MATCH(nzcathist!B76, Sheet1!$B$1:$AY$1, 0))
    ),
    0
  )
)</f>
        <v>2348983</v>
      </c>
    </row>
    <row r="77" spans="1:13" ht="58" x14ac:dyDescent="0.35">
      <c r="A77">
        <v>76</v>
      </c>
      <c r="B77">
        <v>2000</v>
      </c>
      <c r="C77">
        <v>3</v>
      </c>
      <c r="D77" s="1">
        <v>46291</v>
      </c>
      <c r="E77" s="2">
        <v>36795</v>
      </c>
      <c r="F77" t="s">
        <v>203</v>
      </c>
      <c r="G77" t="s">
        <v>22</v>
      </c>
      <c r="H77" t="s">
        <v>49</v>
      </c>
      <c r="I77">
        <v>4.2</v>
      </c>
      <c r="J77">
        <v>5.66</v>
      </c>
      <c r="K77">
        <v>5.87</v>
      </c>
      <c r="L77" s="6" t="s">
        <v>50</v>
      </c>
      <c r="M77" s="7" cm="1">
        <f t="array" ref="M77">SUM(
  IFERROR(
    _xlfn.XLOOKUP(
      TRIM(_xlfn.TEXTSPLIT(nzcathist!L77, ",")),
      Sheet1!$A$2:$A$62,
      INDEX(Sheet1!$B$2:$AY$62, , MATCH(nzcathist!B77, Sheet1!$B$1:$AY$1, 0))
    ),
    0
  )
)</f>
        <v>2318803.4</v>
      </c>
    </row>
    <row r="78" spans="1:13" x14ac:dyDescent="0.35">
      <c r="A78">
        <v>77</v>
      </c>
      <c r="B78">
        <v>2000</v>
      </c>
      <c r="C78">
        <v>4</v>
      </c>
      <c r="D78" s="1">
        <v>46307</v>
      </c>
      <c r="E78" s="2">
        <v>36811</v>
      </c>
      <c r="F78" t="s">
        <v>204</v>
      </c>
      <c r="G78" t="s">
        <v>31</v>
      </c>
      <c r="H78" t="s">
        <v>32</v>
      </c>
      <c r="I78">
        <v>9.4</v>
      </c>
      <c r="J78">
        <v>12.63</v>
      </c>
      <c r="K78">
        <v>12.99</v>
      </c>
      <c r="L78" s="6" t="s">
        <v>115</v>
      </c>
      <c r="M78" s="7" cm="1">
        <f t="array" ref="M78">SUM(
  IFERROR(
    _xlfn.XLOOKUP(
      TRIM(_xlfn.TEXTSPLIT(nzcathist!L78, ",")),
      Sheet1!$A$2:$A$62,
      INDEX(Sheet1!$B$2:$AY$62, , MATCH(nzcathist!B78, Sheet1!$B$1:$AY$1, 0))
    ),
    0
  )
)</f>
        <v>419115.6</v>
      </c>
    </row>
    <row r="79" spans="1:13" x14ac:dyDescent="0.35">
      <c r="A79">
        <v>78</v>
      </c>
      <c r="B79">
        <v>2000</v>
      </c>
      <c r="C79">
        <v>2</v>
      </c>
      <c r="D79" s="1">
        <v>46122</v>
      </c>
      <c r="E79" s="2">
        <v>36626</v>
      </c>
      <c r="F79" t="s">
        <v>205</v>
      </c>
      <c r="G79" t="s">
        <v>17</v>
      </c>
      <c r="H79" t="s">
        <v>206</v>
      </c>
      <c r="I79">
        <v>1.9</v>
      </c>
      <c r="J79">
        <v>2.61</v>
      </c>
      <c r="K79">
        <v>2.69</v>
      </c>
      <c r="L79" s="6" t="s">
        <v>98</v>
      </c>
      <c r="M79" s="7" cm="1">
        <f t="array" ref="M79">SUM(
  IFERROR(
    _xlfn.XLOOKUP(
      TRIM(_xlfn.TEXTSPLIT(nzcathist!L79, ",")),
      Sheet1!$A$2:$A$62,
      INDEX(Sheet1!$B$2:$AY$62, , MATCH(nzcathist!B79, Sheet1!$B$1:$AY$1, 0))
    ),
    0
  )
)</f>
        <v>163720.6</v>
      </c>
    </row>
    <row r="80" spans="1:13" x14ac:dyDescent="0.35">
      <c r="A80">
        <v>79</v>
      </c>
      <c r="B80">
        <v>2000</v>
      </c>
      <c r="C80">
        <v>3</v>
      </c>
      <c r="D80" s="1">
        <v>46206</v>
      </c>
      <c r="E80" s="2">
        <v>36710</v>
      </c>
      <c r="F80" t="s">
        <v>207</v>
      </c>
      <c r="G80" t="s">
        <v>17</v>
      </c>
      <c r="H80" t="s">
        <v>208</v>
      </c>
      <c r="I80">
        <v>7.6</v>
      </c>
      <c r="J80">
        <v>10.37</v>
      </c>
      <c r="K80">
        <v>10.63</v>
      </c>
      <c r="L80" s="6" t="s">
        <v>209</v>
      </c>
      <c r="M80" s="7" cm="1">
        <f t="array" ref="M80">SUM(
  IFERROR(
    _xlfn.XLOOKUP(
      TRIM(_xlfn.TEXTSPLIT(nzcathist!L80, ",")),
      Sheet1!$A$2:$A$62,
      INDEX(Sheet1!$B$2:$AY$62, , MATCH(nzcathist!B80, Sheet1!$B$1:$AY$1, 0))
    ),
    0
  )
)</f>
        <v>1100769</v>
      </c>
    </row>
    <row r="81" spans="1:13" x14ac:dyDescent="0.35">
      <c r="A81">
        <v>80</v>
      </c>
      <c r="B81">
        <v>1999</v>
      </c>
      <c r="C81">
        <v>1</v>
      </c>
      <c r="D81" s="1">
        <v>46044</v>
      </c>
      <c r="E81" s="2">
        <v>36182</v>
      </c>
      <c r="F81" t="s">
        <v>210</v>
      </c>
      <c r="G81" t="s">
        <v>17</v>
      </c>
      <c r="H81" t="s">
        <v>211</v>
      </c>
      <c r="I81">
        <v>5</v>
      </c>
      <c r="J81">
        <v>6.96</v>
      </c>
      <c r="K81">
        <v>7.24</v>
      </c>
      <c r="L81" s="6" t="s">
        <v>212</v>
      </c>
      <c r="M81" s="7" cm="1">
        <f t="array" ref="M81">SUM(
  IFERROR(
    _xlfn.XLOOKUP(
      TRIM(_xlfn.TEXTSPLIT(nzcathist!L81, ",")),
      Sheet1!$A$2:$A$62,
      INDEX(Sheet1!$B$2:$AY$62, , MATCH(nzcathist!B81, Sheet1!$B$1:$AY$1, 0))
    ),
    0
  )
)</f>
        <v>1130299.3999999999</v>
      </c>
    </row>
    <row r="82" spans="1:13" x14ac:dyDescent="0.35">
      <c r="A82">
        <v>81</v>
      </c>
      <c r="B82">
        <v>1999</v>
      </c>
      <c r="C82">
        <v>2</v>
      </c>
      <c r="D82" s="1">
        <v>46130</v>
      </c>
      <c r="E82" s="2">
        <v>36268</v>
      </c>
      <c r="F82" t="s">
        <v>213</v>
      </c>
      <c r="G82" t="s">
        <v>17</v>
      </c>
      <c r="H82" t="s">
        <v>214</v>
      </c>
      <c r="I82">
        <v>1.7</v>
      </c>
      <c r="J82">
        <v>2.37</v>
      </c>
      <c r="K82">
        <v>2.46</v>
      </c>
      <c r="L82" s="6" t="s">
        <v>215</v>
      </c>
      <c r="M82" s="7" cm="1">
        <f t="array" ref="M82">SUM(
  IFERROR(
    _xlfn.XLOOKUP(
      TRIM(_xlfn.TEXTSPLIT(nzcathist!L82, ",")),
      Sheet1!$A$2:$A$62,
      INDEX(Sheet1!$B$2:$AY$62, , MATCH(nzcathist!B82, Sheet1!$B$1:$AY$1, 0))
    ),
    0
  )
)</f>
        <v>51170.9</v>
      </c>
    </row>
    <row r="83" spans="1:13" x14ac:dyDescent="0.35">
      <c r="A83">
        <v>82</v>
      </c>
      <c r="B83">
        <v>1999</v>
      </c>
      <c r="C83">
        <v>3</v>
      </c>
      <c r="D83" s="1">
        <v>46205</v>
      </c>
      <c r="E83" s="2">
        <v>36343</v>
      </c>
      <c r="F83" t="s">
        <v>216</v>
      </c>
      <c r="G83" t="s">
        <v>31</v>
      </c>
      <c r="H83" t="s">
        <v>217</v>
      </c>
      <c r="I83">
        <v>0.6</v>
      </c>
      <c r="J83">
        <v>0.84</v>
      </c>
      <c r="K83">
        <v>0.86</v>
      </c>
      <c r="L83" s="6" t="s">
        <v>218</v>
      </c>
      <c r="M83" s="7" cm="1">
        <f t="array" ref="M83">SUM(
  IFERROR(
    _xlfn.XLOOKUP(
      TRIM(_xlfn.TEXTSPLIT(nzcathist!L83, ",")),
      Sheet1!$A$2:$A$62,
      INDEX(Sheet1!$B$2:$AY$62, , MATCH(nzcathist!B83, Sheet1!$B$1:$AY$1, 0))
    ),
    0
  )
)</f>
        <v>398126.5</v>
      </c>
    </row>
    <row r="84" spans="1:13" x14ac:dyDescent="0.35">
      <c r="A84">
        <v>83</v>
      </c>
      <c r="B84">
        <v>1999</v>
      </c>
      <c r="C84">
        <v>2</v>
      </c>
      <c r="D84" s="1">
        <v>46143</v>
      </c>
      <c r="E84" s="2">
        <v>36281</v>
      </c>
      <c r="F84" t="s">
        <v>219</v>
      </c>
      <c r="G84" t="s">
        <v>17</v>
      </c>
      <c r="H84" t="s">
        <v>220</v>
      </c>
      <c r="I84">
        <v>2.1</v>
      </c>
      <c r="J84">
        <v>2.93</v>
      </c>
      <c r="K84">
        <v>3.04</v>
      </c>
      <c r="L84" s="6" t="s">
        <v>221</v>
      </c>
      <c r="M84" s="7" cm="1">
        <f t="array" ref="M84">SUM(
  IFERROR(
    _xlfn.XLOOKUP(
      TRIM(_xlfn.TEXTSPLIT(nzcathist!L84, ",")),
      Sheet1!$A$2:$A$62,
      INDEX(Sheet1!$B$2:$AY$62, , MATCH(nzcathist!B84, Sheet1!$B$1:$AY$1, 0))
    ),
    0
  )
)</f>
        <v>207747.20000000001</v>
      </c>
    </row>
    <row r="85" spans="1:13" x14ac:dyDescent="0.35">
      <c r="A85">
        <v>84</v>
      </c>
      <c r="B85">
        <v>1999</v>
      </c>
      <c r="C85">
        <v>4</v>
      </c>
      <c r="D85" s="1">
        <v>46357</v>
      </c>
      <c r="E85" s="2">
        <v>36495</v>
      </c>
      <c r="F85" t="s">
        <v>222</v>
      </c>
      <c r="G85" t="s">
        <v>17</v>
      </c>
      <c r="H85" t="s">
        <v>223</v>
      </c>
      <c r="I85">
        <v>46.1</v>
      </c>
      <c r="J85">
        <v>63.83</v>
      </c>
      <c r="K85">
        <v>66.260000000000005</v>
      </c>
      <c r="L85" s="6" t="s">
        <v>224</v>
      </c>
      <c r="M85" s="7" cm="1">
        <f t="array" ref="M85">SUM(
  IFERROR(
    _xlfn.XLOOKUP(
      TRIM(_xlfn.TEXTSPLIT(nzcathist!L85, ",")),
      Sheet1!$A$2:$A$62,
      INDEX(Sheet1!$B$2:$AY$62, , MATCH(nzcathist!B85, Sheet1!$B$1:$AY$1, 0))
    ),
    0
  )
)</f>
        <v>179103.9</v>
      </c>
    </row>
    <row r="86" spans="1:13" x14ac:dyDescent="0.35">
      <c r="A86">
        <v>85</v>
      </c>
      <c r="B86">
        <v>1998</v>
      </c>
      <c r="C86">
        <v>4</v>
      </c>
      <c r="D86" s="1">
        <v>46325</v>
      </c>
      <c r="E86" s="2">
        <v>36098</v>
      </c>
      <c r="F86" t="s">
        <v>225</v>
      </c>
      <c r="G86" t="s">
        <v>31</v>
      </c>
      <c r="H86" t="s">
        <v>144</v>
      </c>
      <c r="I86">
        <v>2</v>
      </c>
      <c r="J86">
        <v>2.77</v>
      </c>
      <c r="K86">
        <v>2.89</v>
      </c>
      <c r="L86" s="6" t="s">
        <v>24</v>
      </c>
      <c r="M86" s="7" cm="1">
        <f t="array" ref="M86">SUM(
  IFERROR(
    _xlfn.XLOOKUP(
      TRIM(_xlfn.TEXTSPLIT(nzcathist!L86, ",")),
      Sheet1!$A$2:$A$62,
      INDEX(Sheet1!$B$2:$AY$62, , MATCH(nzcathist!B86, Sheet1!$B$1:$AY$1, 0))
    ),
    0
  )
)</f>
        <v>3783980</v>
      </c>
    </row>
    <row r="87" spans="1:13" x14ac:dyDescent="0.35">
      <c r="A87">
        <v>86</v>
      </c>
      <c r="B87">
        <v>1998</v>
      </c>
      <c r="C87">
        <v>4</v>
      </c>
      <c r="D87" s="1">
        <v>46355</v>
      </c>
      <c r="E87" s="2">
        <v>36128</v>
      </c>
      <c r="F87" t="s">
        <v>226</v>
      </c>
      <c r="G87" t="s">
        <v>31</v>
      </c>
      <c r="H87" t="s">
        <v>227</v>
      </c>
      <c r="I87">
        <v>5</v>
      </c>
      <c r="J87">
        <v>6.93</v>
      </c>
      <c r="K87">
        <v>7.22</v>
      </c>
      <c r="L87" s="6" t="s">
        <v>228</v>
      </c>
      <c r="M87" s="7" cm="1">
        <f t="array" ref="M87">SUM(
  IFERROR(
    _xlfn.XLOOKUP(
      TRIM(_xlfn.TEXTSPLIT(nzcathist!L87, ",")),
      Sheet1!$A$2:$A$62,
      INDEX(Sheet1!$B$2:$AY$62, , MATCH(nzcathist!B87, Sheet1!$B$1:$AY$1, 0))
    ),
    0
  )
)</f>
        <v>1327853.4000000001</v>
      </c>
    </row>
    <row r="88" spans="1:13" x14ac:dyDescent="0.35">
      <c r="A88">
        <v>87</v>
      </c>
      <c r="B88">
        <v>1998</v>
      </c>
      <c r="C88">
        <v>4</v>
      </c>
      <c r="D88" s="1">
        <v>46317</v>
      </c>
      <c r="E88" s="2">
        <v>36090</v>
      </c>
      <c r="F88" t="s">
        <v>225</v>
      </c>
      <c r="G88" t="s">
        <v>31</v>
      </c>
      <c r="H88" t="s">
        <v>225</v>
      </c>
      <c r="I88">
        <v>6.2</v>
      </c>
      <c r="J88">
        <v>8.57</v>
      </c>
      <c r="K88">
        <v>8.9600000000000009</v>
      </c>
      <c r="L88" s="6" t="s">
        <v>24</v>
      </c>
      <c r="M88" s="7" cm="1">
        <f t="array" ref="M88">SUM(
  IFERROR(
    _xlfn.XLOOKUP(
      TRIM(_xlfn.TEXTSPLIT(nzcathist!L88, ",")),
      Sheet1!$A$2:$A$62,
      INDEX(Sheet1!$B$2:$AY$62, , MATCH(nzcathist!B88, Sheet1!$B$1:$AY$1, 0))
    ),
    0
  )
)</f>
        <v>3783980</v>
      </c>
    </row>
    <row r="89" spans="1:13" x14ac:dyDescent="0.35">
      <c r="A89">
        <v>88</v>
      </c>
      <c r="B89">
        <v>1998</v>
      </c>
      <c r="C89">
        <v>2</v>
      </c>
      <c r="D89" s="1">
        <v>46143</v>
      </c>
      <c r="E89" s="2">
        <v>35916</v>
      </c>
      <c r="F89" t="s">
        <v>229</v>
      </c>
      <c r="G89" t="s">
        <v>12</v>
      </c>
      <c r="H89" t="s">
        <v>230</v>
      </c>
      <c r="I89">
        <v>10.199999999999999</v>
      </c>
      <c r="J89">
        <v>14.19</v>
      </c>
      <c r="K89">
        <v>14.7</v>
      </c>
      <c r="L89" s="6" t="s">
        <v>15</v>
      </c>
      <c r="M89" s="7" cm="1">
        <f t="array" ref="M89">SUM(
  IFERROR(
    _xlfn.XLOOKUP(
      TRIM(_xlfn.TEXTSPLIT(nzcathist!L89, ",")),
      Sheet1!$A$2:$A$62,
      INDEX(Sheet1!$B$2:$AY$62, , MATCH(nzcathist!B89, Sheet1!$B$1:$AY$1, 0))
    ),
    0
  )
)</f>
        <v>1057488</v>
      </c>
    </row>
    <row r="90" spans="1:13" x14ac:dyDescent="0.35">
      <c r="A90">
        <v>89</v>
      </c>
      <c r="B90">
        <v>1998</v>
      </c>
      <c r="C90">
        <v>3</v>
      </c>
      <c r="D90" s="1">
        <v>46204</v>
      </c>
      <c r="E90" s="2">
        <v>35977</v>
      </c>
      <c r="F90" t="s">
        <v>231</v>
      </c>
      <c r="G90" t="s">
        <v>26</v>
      </c>
      <c r="H90" t="s">
        <v>232</v>
      </c>
      <c r="I90">
        <v>11.8</v>
      </c>
      <c r="J90">
        <v>16.36</v>
      </c>
      <c r="K90">
        <v>16.91</v>
      </c>
      <c r="L90" s="6" t="s">
        <v>24</v>
      </c>
      <c r="M90" s="7" cm="1">
        <f t="array" ref="M90">SUM(
  IFERROR(
    _xlfn.XLOOKUP(
      TRIM(_xlfn.TEXTSPLIT(nzcathist!L90, ",")),
      Sheet1!$A$2:$A$62,
      INDEX(Sheet1!$B$2:$AY$62, , MATCH(nzcathist!B90, Sheet1!$B$1:$AY$1, 0))
    ),
    0
  )
)</f>
        <v>3783980</v>
      </c>
    </row>
    <row r="91" spans="1:13" x14ac:dyDescent="0.35">
      <c r="A91">
        <v>90</v>
      </c>
      <c r="B91">
        <v>1997</v>
      </c>
      <c r="C91">
        <v>2</v>
      </c>
      <c r="D91" s="1">
        <v>46203</v>
      </c>
      <c r="E91" s="2">
        <v>35611</v>
      </c>
      <c r="F91" t="s">
        <v>233</v>
      </c>
      <c r="G91" t="s">
        <v>17</v>
      </c>
      <c r="H91" t="s">
        <v>234</v>
      </c>
      <c r="I91">
        <v>1.2</v>
      </c>
      <c r="J91">
        <v>1.69</v>
      </c>
      <c r="K91">
        <v>1.76</v>
      </c>
      <c r="L91" s="6" t="s">
        <v>101</v>
      </c>
      <c r="M91" s="7" cm="1">
        <f t="array" ref="M91">SUM(
  IFERROR(
    _xlfn.XLOOKUP(
      TRIM(_xlfn.TEXTSPLIT(nzcathist!L91, ",")),
      Sheet1!$A$2:$A$62,
      INDEX(Sheet1!$B$2:$AY$62, , MATCH(nzcathist!B91, Sheet1!$B$1:$AY$1, 0))
    ),
    0
  )
)</f>
        <v>50560.3</v>
      </c>
    </row>
    <row r="92" spans="1:13" x14ac:dyDescent="0.35">
      <c r="A92">
        <v>91</v>
      </c>
      <c r="B92">
        <v>1997</v>
      </c>
      <c r="C92">
        <v>3</v>
      </c>
      <c r="D92" s="1">
        <v>46293</v>
      </c>
      <c r="E92" s="2">
        <v>35701</v>
      </c>
      <c r="F92" t="s">
        <v>235</v>
      </c>
      <c r="G92" t="s">
        <v>17</v>
      </c>
      <c r="H92" t="s">
        <v>13</v>
      </c>
      <c r="I92">
        <v>0.7</v>
      </c>
      <c r="J92">
        <v>0.98</v>
      </c>
      <c r="K92">
        <v>1.02</v>
      </c>
      <c r="L92" s="6" t="s">
        <v>15</v>
      </c>
      <c r="M92" s="7" cm="1">
        <f t="array" ref="M92">SUM(
  IFERROR(
    _xlfn.XLOOKUP(
      TRIM(_xlfn.TEXTSPLIT(nzcathist!L92, ",")),
      Sheet1!$A$2:$A$62,
      INDEX(Sheet1!$B$2:$AY$62, , MATCH(nzcathist!B92, Sheet1!$B$1:$AY$1, 0))
    ),
    0
  )
)</f>
        <v>1035847.5</v>
      </c>
    </row>
    <row r="93" spans="1:13" x14ac:dyDescent="0.35">
      <c r="A93">
        <v>92</v>
      </c>
      <c r="B93">
        <v>1997</v>
      </c>
      <c r="C93">
        <v>3</v>
      </c>
      <c r="D93" s="1">
        <v>46290</v>
      </c>
      <c r="E93" s="2">
        <v>35698</v>
      </c>
      <c r="F93" t="s">
        <v>236</v>
      </c>
      <c r="G93" t="s">
        <v>17</v>
      </c>
      <c r="H93" t="s">
        <v>237</v>
      </c>
      <c r="I93">
        <v>0.5</v>
      </c>
      <c r="J93">
        <v>0.7</v>
      </c>
      <c r="K93">
        <v>0.73</v>
      </c>
      <c r="L93" s="6" t="s">
        <v>238</v>
      </c>
      <c r="M93" s="7" cm="1">
        <f t="array" ref="M93">SUM(
  IFERROR(
    _xlfn.XLOOKUP(
      TRIM(_xlfn.TEXTSPLIT(nzcathist!L93, ",")),
      Sheet1!$A$2:$A$62,
      INDEX(Sheet1!$B$2:$AY$62, , MATCH(nzcathist!B93, Sheet1!$B$1:$AY$1, 0))
    ),
    0
  )
)</f>
        <v>0</v>
      </c>
    </row>
    <row r="94" spans="1:13" x14ac:dyDescent="0.35">
      <c r="A94">
        <v>93</v>
      </c>
      <c r="B94">
        <v>1997</v>
      </c>
      <c r="C94">
        <v>2</v>
      </c>
      <c r="D94" s="1">
        <v>46166</v>
      </c>
      <c r="E94" s="2">
        <v>35574</v>
      </c>
      <c r="F94" t="s">
        <v>235</v>
      </c>
      <c r="G94" t="s">
        <v>17</v>
      </c>
      <c r="H94" t="s">
        <v>13</v>
      </c>
      <c r="I94">
        <v>3.7</v>
      </c>
      <c r="J94">
        <v>5.22</v>
      </c>
      <c r="K94">
        <v>5.42</v>
      </c>
      <c r="L94" s="6" t="s">
        <v>15</v>
      </c>
      <c r="M94" s="7" cm="1">
        <f t="array" ref="M94">SUM(
  IFERROR(
    _xlfn.XLOOKUP(
      TRIM(_xlfn.TEXTSPLIT(nzcathist!L94, ",")),
      Sheet1!$A$2:$A$62,
      INDEX(Sheet1!$B$2:$AY$62, , MATCH(nzcathist!B94, Sheet1!$B$1:$AY$1, 0))
    ),
    0
  )
)</f>
        <v>1035847.5</v>
      </c>
    </row>
    <row r="95" spans="1:13" ht="29" x14ac:dyDescent="0.35">
      <c r="A95">
        <v>94</v>
      </c>
      <c r="B95">
        <v>1997</v>
      </c>
      <c r="C95">
        <v>1</v>
      </c>
      <c r="D95" s="1">
        <v>46043</v>
      </c>
      <c r="E95" s="2">
        <v>35451</v>
      </c>
      <c r="F95" t="s">
        <v>239</v>
      </c>
      <c r="G95" t="s">
        <v>31</v>
      </c>
      <c r="H95" t="s">
        <v>240</v>
      </c>
      <c r="I95">
        <v>1.1000000000000001</v>
      </c>
      <c r="J95">
        <v>1.55</v>
      </c>
      <c r="K95">
        <v>1.61</v>
      </c>
      <c r="L95" s="6" t="s">
        <v>241</v>
      </c>
      <c r="M95" s="7" cm="1">
        <f t="array" ref="M95">SUM(
  IFERROR(
    _xlfn.XLOOKUP(
      TRIM(_xlfn.TEXTSPLIT(nzcathist!L95, ",")),
      Sheet1!$A$2:$A$62,
      INDEX(Sheet1!$B$2:$AY$62, , MATCH(nzcathist!B95, Sheet1!$B$1:$AY$1, 0))
    ),
    0
  )
)</f>
        <v>667831.99999999988</v>
      </c>
    </row>
    <row r="96" spans="1:13" ht="29" x14ac:dyDescent="0.35">
      <c r="A96">
        <v>95</v>
      </c>
      <c r="B96">
        <v>1997</v>
      </c>
      <c r="C96">
        <v>4</v>
      </c>
      <c r="D96" s="1">
        <v>46375</v>
      </c>
      <c r="E96" s="2">
        <v>35783</v>
      </c>
      <c r="F96" t="s">
        <v>242</v>
      </c>
      <c r="G96" t="s">
        <v>31</v>
      </c>
      <c r="H96" t="s">
        <v>240</v>
      </c>
      <c r="I96">
        <v>0.2</v>
      </c>
      <c r="J96">
        <v>0.28000000000000003</v>
      </c>
      <c r="K96">
        <v>0.28999999999999998</v>
      </c>
      <c r="L96" s="6" t="s">
        <v>241</v>
      </c>
      <c r="M96" s="7" cm="1">
        <f t="array" ref="M96">SUM(
  IFERROR(
    _xlfn.XLOOKUP(
      TRIM(_xlfn.TEXTSPLIT(nzcathist!L96, ",")),
      Sheet1!$A$2:$A$62,
      INDEX(Sheet1!$B$2:$AY$62, , MATCH(nzcathist!B96, Sheet1!$B$1:$AY$1, 0))
    ),
    0
  )
)</f>
        <v>667831.99999999988</v>
      </c>
    </row>
    <row r="97" spans="1:13" x14ac:dyDescent="0.35">
      <c r="A97">
        <v>96</v>
      </c>
      <c r="B97">
        <v>1997</v>
      </c>
      <c r="C97">
        <v>4</v>
      </c>
      <c r="D97" s="1">
        <v>46339</v>
      </c>
      <c r="E97" s="2">
        <v>35747</v>
      </c>
      <c r="F97" t="s">
        <v>243</v>
      </c>
      <c r="G97" t="s">
        <v>96</v>
      </c>
      <c r="H97" t="s">
        <v>244</v>
      </c>
      <c r="I97">
        <v>0.4</v>
      </c>
      <c r="J97">
        <v>0.56000000000000005</v>
      </c>
      <c r="K97">
        <v>0.57999999999999996</v>
      </c>
      <c r="L97" s="6" t="s">
        <v>79</v>
      </c>
      <c r="M97" s="7" cm="1">
        <f t="array" ref="M97">SUM(
  IFERROR(
    _xlfn.XLOOKUP(
      TRIM(_xlfn.TEXTSPLIT(nzcathist!L97, ",")),
      Sheet1!$A$2:$A$62,
      INDEX(Sheet1!$B$2:$AY$62, , MATCH(nzcathist!B97, Sheet1!$B$1:$AY$1, 0))
    ),
    0
  )
)</f>
        <v>180209.30000000002</v>
      </c>
    </row>
    <row r="98" spans="1:13" x14ac:dyDescent="0.35">
      <c r="A98">
        <v>97</v>
      </c>
      <c r="B98">
        <v>1997</v>
      </c>
      <c r="C98">
        <v>1</v>
      </c>
      <c r="D98" s="1">
        <v>46033</v>
      </c>
      <c r="E98" s="2">
        <v>35441</v>
      </c>
      <c r="F98" t="s">
        <v>245</v>
      </c>
      <c r="G98" t="s">
        <v>29</v>
      </c>
      <c r="H98" t="s">
        <v>14</v>
      </c>
      <c r="I98">
        <v>3.2</v>
      </c>
      <c r="J98">
        <v>4.5</v>
      </c>
      <c r="K98">
        <v>4.6900000000000004</v>
      </c>
      <c r="L98" s="6" t="s">
        <v>228</v>
      </c>
      <c r="M98" s="7" cm="1">
        <f t="array" ref="M98">SUM(
  IFERROR(
    _xlfn.XLOOKUP(
      TRIM(_xlfn.TEXTSPLIT(nzcathist!L98, ",")),
      Sheet1!$A$2:$A$62,
      INDEX(Sheet1!$B$2:$AY$62, , MATCH(nzcathist!B98, Sheet1!$B$1:$AY$1, 0))
    ),
    0
  )
)</f>
        <v>1303525.7000000002</v>
      </c>
    </row>
    <row r="99" spans="1:13" x14ac:dyDescent="0.35">
      <c r="A99">
        <v>98</v>
      </c>
      <c r="B99">
        <v>1997</v>
      </c>
      <c r="C99">
        <v>2</v>
      </c>
      <c r="D99" s="1">
        <v>46176</v>
      </c>
      <c r="E99" s="2">
        <v>35584</v>
      </c>
      <c r="F99" t="s">
        <v>246</v>
      </c>
      <c r="G99" t="s">
        <v>17</v>
      </c>
      <c r="H99" t="s">
        <v>247</v>
      </c>
      <c r="I99">
        <v>0.5</v>
      </c>
      <c r="J99">
        <v>0.71</v>
      </c>
      <c r="K99">
        <v>0.73</v>
      </c>
      <c r="L99" s="6" t="s">
        <v>248</v>
      </c>
      <c r="M99" s="7" cm="1">
        <f t="array" ref="M99">SUM(
  IFERROR(
    _xlfn.XLOOKUP(
      TRIM(_xlfn.TEXTSPLIT(nzcathist!L99, ",")),
      Sheet1!$A$2:$A$62,
      INDEX(Sheet1!$B$2:$AY$62, , MATCH(nzcathist!B99, Sheet1!$B$1:$AY$1, 0))
    ),
    0
  )
)</f>
        <v>127865.8</v>
      </c>
    </row>
    <row r="100" spans="1:13" x14ac:dyDescent="0.35">
      <c r="A100">
        <v>99</v>
      </c>
      <c r="B100">
        <v>1997</v>
      </c>
      <c r="C100">
        <v>4</v>
      </c>
      <c r="D100" s="1">
        <v>46357</v>
      </c>
      <c r="E100" s="2">
        <v>35765</v>
      </c>
      <c r="F100" t="s">
        <v>249</v>
      </c>
      <c r="G100" t="s">
        <v>31</v>
      </c>
      <c r="H100" t="s">
        <v>232</v>
      </c>
      <c r="I100">
        <v>2.9</v>
      </c>
      <c r="J100">
        <v>4.05</v>
      </c>
      <c r="K100">
        <v>4.2</v>
      </c>
      <c r="L100" s="6" t="s">
        <v>24</v>
      </c>
      <c r="M100" s="7" cm="1">
        <f t="array" ref="M100">SUM(
  IFERROR(
    _xlfn.XLOOKUP(
      TRIM(_xlfn.TEXTSPLIT(nzcathist!L100, ",")),
      Sheet1!$A$2:$A$62,
      INDEX(Sheet1!$B$2:$AY$62, , MATCH(nzcathist!B100, Sheet1!$B$1:$AY$1, 0))
    ),
    0
  )
)</f>
        <v>3752360</v>
      </c>
    </row>
    <row r="101" spans="1:13" x14ac:dyDescent="0.35">
      <c r="A101">
        <v>100</v>
      </c>
      <c r="B101">
        <v>1996</v>
      </c>
      <c r="C101">
        <v>4</v>
      </c>
      <c r="D101" s="1">
        <v>46386</v>
      </c>
      <c r="E101" s="2">
        <v>35429</v>
      </c>
      <c r="F101" t="s">
        <v>250</v>
      </c>
      <c r="G101" t="s">
        <v>29</v>
      </c>
      <c r="H101" t="s">
        <v>14</v>
      </c>
      <c r="I101">
        <v>1.6</v>
      </c>
      <c r="J101">
        <v>2.25</v>
      </c>
      <c r="K101">
        <v>2.34</v>
      </c>
      <c r="L101" s="6" t="s">
        <v>24</v>
      </c>
      <c r="M101" s="7" cm="1">
        <f t="array" ref="M101">SUM(
  IFERROR(
    _xlfn.XLOOKUP(
      TRIM(_xlfn.TEXTSPLIT(nzcathist!L101, ",")),
      Sheet1!$A$2:$A$62,
      INDEX(Sheet1!$B$2:$AY$62, , MATCH(nzcathist!B101, Sheet1!$B$1:$AY$1, 0))
    ),
    0
  )
)</f>
        <v>3717350</v>
      </c>
    </row>
    <row r="102" spans="1:13" x14ac:dyDescent="0.35">
      <c r="A102">
        <v>101</v>
      </c>
      <c r="B102">
        <v>1996</v>
      </c>
      <c r="C102">
        <v>3</v>
      </c>
      <c r="D102" s="1">
        <v>46206</v>
      </c>
      <c r="E102" s="2">
        <v>35249</v>
      </c>
      <c r="F102" t="s">
        <v>251</v>
      </c>
      <c r="G102" t="s">
        <v>22</v>
      </c>
      <c r="H102" t="s">
        <v>14</v>
      </c>
      <c r="I102">
        <v>8.1</v>
      </c>
      <c r="J102">
        <v>11.55</v>
      </c>
      <c r="K102">
        <v>11.93</v>
      </c>
      <c r="L102" s="6" t="s">
        <v>24</v>
      </c>
      <c r="M102" s="7" cm="1">
        <f t="array" ref="M102">SUM(
  IFERROR(
    _xlfn.XLOOKUP(
      TRIM(_xlfn.TEXTSPLIT(nzcathist!L102, ",")),
      Sheet1!$A$2:$A$62,
      INDEX(Sheet1!$B$2:$AY$62, , MATCH(nzcathist!B102, Sheet1!$B$1:$AY$1, 0))
    ),
    0
  )
)</f>
        <v>3717350</v>
      </c>
    </row>
    <row r="103" spans="1:13" x14ac:dyDescent="0.35">
      <c r="A103">
        <v>102</v>
      </c>
      <c r="B103">
        <v>1996</v>
      </c>
      <c r="C103">
        <v>4</v>
      </c>
      <c r="D103" s="1">
        <v>46357</v>
      </c>
      <c r="E103" s="2">
        <v>35400</v>
      </c>
      <c r="F103" t="s">
        <v>252</v>
      </c>
      <c r="G103" t="s">
        <v>22</v>
      </c>
      <c r="H103" t="s">
        <v>14</v>
      </c>
      <c r="I103">
        <v>2.1</v>
      </c>
      <c r="J103">
        <v>2.96</v>
      </c>
      <c r="K103">
        <v>3.07</v>
      </c>
      <c r="L103" s="6" t="s">
        <v>24</v>
      </c>
      <c r="M103" s="7" cm="1">
        <f t="array" ref="M103">SUM(
  IFERROR(
    _xlfn.XLOOKUP(
      TRIM(_xlfn.TEXTSPLIT(nzcathist!L103, ",")),
      Sheet1!$A$2:$A$62,
      INDEX(Sheet1!$B$2:$AY$62, , MATCH(nzcathist!B103, Sheet1!$B$1:$AY$1, 0))
    ),
    0
  )
)</f>
        <v>3717350</v>
      </c>
    </row>
    <row r="104" spans="1:13" x14ac:dyDescent="0.35">
      <c r="A104">
        <v>103</v>
      </c>
      <c r="B104">
        <v>1995</v>
      </c>
      <c r="C104">
        <v>1</v>
      </c>
      <c r="D104" t="s">
        <v>14</v>
      </c>
      <c r="E104" t="s">
        <v>14</v>
      </c>
      <c r="F104" t="s">
        <v>253</v>
      </c>
      <c r="G104" t="s">
        <v>17</v>
      </c>
      <c r="H104" t="s">
        <v>254</v>
      </c>
      <c r="I104">
        <v>1.7</v>
      </c>
      <c r="J104">
        <v>2.4700000000000002</v>
      </c>
      <c r="K104">
        <v>2.59</v>
      </c>
      <c r="L104" s="6" t="s">
        <v>101</v>
      </c>
      <c r="M104" s="7" cm="1">
        <f t="array" ref="M104">SUM(
  IFERROR(
    _xlfn.XLOOKUP(
      TRIM(_xlfn.TEXTSPLIT(nzcathist!L104, ",")),
      Sheet1!$A$2:$A$62,
      INDEX(Sheet1!$B$2:$AY$62, , MATCH(nzcathist!B104, Sheet1!$B$1:$AY$1, 0))
    ),
    0
  )
)</f>
        <v>50119.700000000004</v>
      </c>
    </row>
    <row r="105" spans="1:13" x14ac:dyDescent="0.35">
      <c r="A105">
        <v>104</v>
      </c>
      <c r="B105">
        <v>1995</v>
      </c>
      <c r="C105">
        <v>2</v>
      </c>
      <c r="D105" s="1">
        <v>46137</v>
      </c>
      <c r="E105" s="2">
        <v>34814</v>
      </c>
      <c r="F105" t="s">
        <v>255</v>
      </c>
      <c r="G105" t="s">
        <v>17</v>
      </c>
      <c r="H105" t="s">
        <v>256</v>
      </c>
      <c r="I105">
        <v>3.6</v>
      </c>
      <c r="J105">
        <v>5.27</v>
      </c>
      <c r="K105">
        <v>5.44</v>
      </c>
      <c r="L105" s="6" t="s">
        <v>69</v>
      </c>
      <c r="M105" s="7" cm="1">
        <f t="array" ref="M105">SUM(
  IFERROR(
    _xlfn.XLOOKUP(
      TRIM(_xlfn.TEXTSPLIT(nzcathist!L105, ",")),
      Sheet1!$A$2:$A$62,
      INDEX(Sheet1!$B$2:$AY$62, , MATCH(nzcathist!B105, Sheet1!$B$1:$AY$1, 0))
    ),
    0
  )
)</f>
        <v>73366.599999999991</v>
      </c>
    </row>
    <row r="106" spans="1:13" x14ac:dyDescent="0.35">
      <c r="A106">
        <v>105</v>
      </c>
      <c r="B106">
        <v>1995</v>
      </c>
      <c r="C106">
        <v>3</v>
      </c>
      <c r="D106" s="1">
        <v>46221</v>
      </c>
      <c r="E106" s="2">
        <v>34898</v>
      </c>
      <c r="F106" t="s">
        <v>257</v>
      </c>
      <c r="G106" t="s">
        <v>17</v>
      </c>
      <c r="H106" t="s">
        <v>258</v>
      </c>
      <c r="I106">
        <v>2.8</v>
      </c>
      <c r="J106">
        <v>4.07</v>
      </c>
      <c r="K106">
        <v>4.22</v>
      </c>
      <c r="L106" s="6" t="s">
        <v>238</v>
      </c>
      <c r="M106" s="7" cm="1">
        <f t="array" ref="M106">SUM(
  IFERROR(
    _xlfn.XLOOKUP(
      TRIM(_xlfn.TEXTSPLIT(nzcathist!L106, ",")),
      Sheet1!$A$2:$A$62,
      INDEX(Sheet1!$B$2:$AY$62, , MATCH(nzcathist!B106, Sheet1!$B$1:$AY$1, 0))
    ),
    0
  )
)</f>
        <v>0</v>
      </c>
    </row>
    <row r="107" spans="1:13" x14ac:dyDescent="0.35">
      <c r="A107">
        <v>106</v>
      </c>
      <c r="B107">
        <v>1995</v>
      </c>
      <c r="C107">
        <v>3</v>
      </c>
      <c r="D107" s="1">
        <v>46205</v>
      </c>
      <c r="E107" s="2">
        <v>34882</v>
      </c>
      <c r="F107" t="s">
        <v>259</v>
      </c>
      <c r="G107" t="s">
        <v>17</v>
      </c>
      <c r="H107" t="s">
        <v>232</v>
      </c>
      <c r="I107">
        <v>4.5</v>
      </c>
      <c r="J107">
        <v>6.54</v>
      </c>
      <c r="K107">
        <v>6.79</v>
      </c>
      <c r="L107" s="6" t="s">
        <v>24</v>
      </c>
      <c r="M107" s="7" cm="1">
        <f t="array" ref="M107">SUM(
  IFERROR(
    _xlfn.XLOOKUP(
      TRIM(_xlfn.TEXTSPLIT(nzcathist!L107, ",")),
      Sheet1!$A$2:$A$62,
      INDEX(Sheet1!$B$2:$AY$62, , MATCH(nzcathist!B107, Sheet1!$B$1:$AY$1, 0))
    ),
    0
  )
)</f>
        <v>3674940</v>
      </c>
    </row>
    <row r="108" spans="1:13" x14ac:dyDescent="0.35">
      <c r="A108">
        <v>107</v>
      </c>
      <c r="B108">
        <v>1994</v>
      </c>
      <c r="C108">
        <v>1</v>
      </c>
      <c r="D108" t="s">
        <v>14</v>
      </c>
      <c r="E108" t="s">
        <v>14</v>
      </c>
      <c r="F108" t="s">
        <v>260</v>
      </c>
      <c r="G108" t="s">
        <v>96</v>
      </c>
      <c r="H108" t="s">
        <v>109</v>
      </c>
      <c r="I108">
        <v>10.8</v>
      </c>
      <c r="J108">
        <v>16.43</v>
      </c>
      <c r="K108">
        <v>17.13</v>
      </c>
      <c r="L108" s="6" t="s">
        <v>110</v>
      </c>
      <c r="M108" s="7" cm="1">
        <f t="array" ref="M108">SUM(
  IFERROR(
    _xlfn.XLOOKUP(
      TRIM(_xlfn.TEXTSPLIT(nzcathist!L108, ",")),
      Sheet1!$A$2:$A$62,
      INDEX(Sheet1!$B$2:$AY$62, , MATCH(nzcathist!B108, Sheet1!$B$1:$AY$1, 0))
    ),
    0
  )
)</f>
        <v>126744.6</v>
      </c>
    </row>
    <row r="109" spans="1:13" x14ac:dyDescent="0.35">
      <c r="A109">
        <v>108</v>
      </c>
      <c r="B109">
        <v>1994</v>
      </c>
      <c r="C109">
        <v>1</v>
      </c>
      <c r="D109" s="1">
        <v>46072</v>
      </c>
      <c r="E109" s="2">
        <v>34384</v>
      </c>
      <c r="F109" t="s">
        <v>261</v>
      </c>
      <c r="G109" t="s">
        <v>17</v>
      </c>
      <c r="H109" t="s">
        <v>217</v>
      </c>
      <c r="I109">
        <v>1.5</v>
      </c>
      <c r="J109">
        <v>2.29</v>
      </c>
      <c r="K109">
        <v>2.38</v>
      </c>
      <c r="L109" s="6" t="s">
        <v>218</v>
      </c>
      <c r="M109" s="7" cm="1">
        <f t="array" ref="M109">SUM(
  IFERROR(
    _xlfn.XLOOKUP(
      TRIM(_xlfn.TEXTSPLIT(nzcathist!L109, ",")),
      Sheet1!$A$2:$A$62,
      INDEX(Sheet1!$B$2:$AY$62, , MATCH(nzcathist!B109, Sheet1!$B$1:$AY$1, 0))
    ),
    0
  )
)</f>
        <v>382490</v>
      </c>
    </row>
    <row r="110" spans="1:13" x14ac:dyDescent="0.35">
      <c r="A110">
        <v>109</v>
      </c>
      <c r="B110">
        <v>1994</v>
      </c>
      <c r="C110">
        <v>4</v>
      </c>
      <c r="D110" s="1">
        <v>46327</v>
      </c>
      <c r="E110" s="2">
        <v>34639</v>
      </c>
      <c r="F110" t="s">
        <v>262</v>
      </c>
      <c r="G110" t="s">
        <v>26</v>
      </c>
      <c r="H110" t="s">
        <v>263</v>
      </c>
      <c r="I110">
        <v>6</v>
      </c>
      <c r="J110">
        <v>8.98</v>
      </c>
      <c r="K110">
        <v>9.26</v>
      </c>
      <c r="L110" s="6" t="s">
        <v>24</v>
      </c>
      <c r="M110" s="7" cm="1">
        <f t="array" ref="M110">SUM(
  IFERROR(
    _xlfn.XLOOKUP(
      TRIM(_xlfn.TEXTSPLIT(nzcathist!L110, ",")),
      Sheet1!$A$2:$A$62,
      INDEX(Sheet1!$B$2:$AY$62, , MATCH(nzcathist!B110, Sheet1!$B$1:$AY$1, 0))
    ),
    0
  )
)</f>
        <v>3623270</v>
      </c>
    </row>
    <row r="111" spans="1:13" x14ac:dyDescent="0.35">
      <c r="A111">
        <v>110</v>
      </c>
      <c r="B111">
        <v>1993</v>
      </c>
      <c r="C111">
        <v>4</v>
      </c>
      <c r="D111" s="1">
        <v>46380</v>
      </c>
      <c r="E111" s="2">
        <v>34327</v>
      </c>
      <c r="F111" t="s">
        <v>264</v>
      </c>
      <c r="G111" t="s">
        <v>17</v>
      </c>
      <c r="H111" t="s">
        <v>265</v>
      </c>
      <c r="I111">
        <v>7.6</v>
      </c>
      <c r="J111">
        <v>11.61</v>
      </c>
      <c r="K111">
        <v>12.06</v>
      </c>
      <c r="L111" s="6" t="s">
        <v>266</v>
      </c>
      <c r="M111" s="7" cm="1">
        <f t="array" ref="M111">SUM(
  IFERROR(
    _xlfn.XLOOKUP(
      TRIM(_xlfn.TEXTSPLIT(nzcathist!L111, ",")),
      Sheet1!$A$2:$A$62,
      INDEX(Sheet1!$B$2:$AY$62, , MATCH(nzcathist!B111, Sheet1!$B$1:$AY$1, 0))
    ),
    0
  )
)</f>
        <v>471784.6</v>
      </c>
    </row>
    <row r="112" spans="1:13" x14ac:dyDescent="0.35">
      <c r="A112">
        <v>111</v>
      </c>
      <c r="B112">
        <v>1992</v>
      </c>
      <c r="C112">
        <v>1</v>
      </c>
      <c r="D112" t="s">
        <v>14</v>
      </c>
      <c r="E112" t="s">
        <v>14</v>
      </c>
      <c r="F112" t="s">
        <v>55</v>
      </c>
      <c r="G112" t="s">
        <v>56</v>
      </c>
      <c r="H112" t="s">
        <v>13</v>
      </c>
      <c r="I112">
        <v>1.1000000000000001</v>
      </c>
      <c r="J112">
        <v>1.71</v>
      </c>
      <c r="K112">
        <v>1.78</v>
      </c>
      <c r="L112" s="6" t="s">
        <v>15</v>
      </c>
      <c r="M112" s="7" cm="1">
        <f t="array" ref="M112">SUM(
  IFERROR(
    _xlfn.XLOOKUP(
      TRIM(_xlfn.TEXTSPLIT(nzcathist!L112, ",")),
      Sheet1!$A$2:$A$62,
      INDEX(Sheet1!$B$2:$AY$62, , MATCH(nzcathist!B112, Sheet1!$B$1:$AY$1, 0))
    ),
    0
  )
)</f>
        <v>942355</v>
      </c>
    </row>
    <row r="113" spans="1:13" x14ac:dyDescent="0.35">
      <c r="A113">
        <v>112</v>
      </c>
      <c r="B113">
        <v>1992</v>
      </c>
      <c r="C113">
        <v>3</v>
      </c>
      <c r="D113" s="1">
        <v>46262</v>
      </c>
      <c r="E113" s="2">
        <v>33844</v>
      </c>
      <c r="F113" t="s">
        <v>267</v>
      </c>
      <c r="G113" t="s">
        <v>31</v>
      </c>
      <c r="H113" t="s">
        <v>32</v>
      </c>
      <c r="I113">
        <v>7</v>
      </c>
      <c r="J113">
        <v>10.88</v>
      </c>
      <c r="K113">
        <v>11.29</v>
      </c>
      <c r="L113" s="6" t="s">
        <v>115</v>
      </c>
      <c r="M113" s="7" cm="1">
        <f t="array" ref="M113">SUM(
  IFERROR(
    _xlfn.XLOOKUP(
      TRIM(_xlfn.TEXTSPLIT(nzcathist!L113, ",")),
      Sheet1!$A$2:$A$62,
      INDEX(Sheet1!$B$2:$AY$62, , MATCH(nzcathist!B113, Sheet1!$B$1:$AY$1, 0))
    ),
    0
  )
)</f>
        <v>394921.6</v>
      </c>
    </row>
    <row r="114" spans="1:13" x14ac:dyDescent="0.35">
      <c r="A114">
        <v>113</v>
      </c>
      <c r="B114">
        <v>1991</v>
      </c>
      <c r="C114">
        <v>1</v>
      </c>
      <c r="D114" t="s">
        <v>14</v>
      </c>
      <c r="E114" t="s">
        <v>14</v>
      </c>
      <c r="F114" t="s">
        <v>268</v>
      </c>
      <c r="G114" t="s">
        <v>56</v>
      </c>
      <c r="H114" t="s">
        <v>269</v>
      </c>
      <c r="I114">
        <v>1.5</v>
      </c>
      <c r="J114">
        <v>2.36</v>
      </c>
      <c r="K114">
        <v>2.4500000000000002</v>
      </c>
      <c r="L114" s="6" t="s">
        <v>15</v>
      </c>
      <c r="M114" s="7" cm="1">
        <f t="array" ref="M114">SUM(
  IFERROR(
    _xlfn.XLOOKUP(
      TRIM(_xlfn.TEXTSPLIT(nzcathist!L114, ",")),
      Sheet1!$A$2:$A$62,
      INDEX(Sheet1!$B$2:$AY$62, , MATCH(nzcathist!B114, Sheet1!$B$1:$AY$1, 0))
    ),
    0
  )
)</f>
        <v>924392</v>
      </c>
    </row>
    <row r="115" spans="1:13" x14ac:dyDescent="0.35">
      <c r="A115">
        <v>114</v>
      </c>
      <c r="B115">
        <v>1991</v>
      </c>
      <c r="C115">
        <v>1</v>
      </c>
      <c r="D115" s="1">
        <v>46071</v>
      </c>
      <c r="E115" s="2">
        <v>33287</v>
      </c>
      <c r="F115" t="s">
        <v>270</v>
      </c>
      <c r="G115" t="s">
        <v>17</v>
      </c>
      <c r="H115" t="s">
        <v>271</v>
      </c>
      <c r="I115">
        <v>1.6</v>
      </c>
      <c r="J115">
        <v>2.5299999999999998</v>
      </c>
      <c r="K115">
        <v>2.62</v>
      </c>
      <c r="L115" s="6" t="s">
        <v>170</v>
      </c>
      <c r="M115" s="7" cm="1">
        <f t="array" ref="M115">SUM(
  IFERROR(
    _xlfn.XLOOKUP(
      TRIM(_xlfn.TEXTSPLIT(nzcathist!L115, ",")),
      Sheet1!$A$2:$A$62,
      INDEX(Sheet1!$B$2:$AY$62, , MATCH(nzcathist!B115, Sheet1!$B$1:$AY$1, 0))
    ),
    0
  )
)</f>
        <v>117558</v>
      </c>
    </row>
    <row r="116" spans="1:13" x14ac:dyDescent="0.35">
      <c r="A116">
        <v>115</v>
      </c>
      <c r="B116">
        <v>1990</v>
      </c>
      <c r="C116">
        <v>3</v>
      </c>
      <c r="D116" s="1">
        <v>46242</v>
      </c>
      <c r="E116" s="2">
        <v>33093</v>
      </c>
      <c r="F116" t="s">
        <v>272</v>
      </c>
      <c r="G116" t="s">
        <v>17</v>
      </c>
      <c r="H116" t="s">
        <v>273</v>
      </c>
      <c r="I116">
        <v>1.8</v>
      </c>
      <c r="J116">
        <v>2.9</v>
      </c>
      <c r="K116">
        <v>2.99</v>
      </c>
      <c r="L116" s="6" t="s">
        <v>274</v>
      </c>
      <c r="M116" s="7" cm="1">
        <f t="array" ref="M116">SUM(
  IFERROR(
    _xlfn.XLOOKUP(
      TRIM(_xlfn.TEXTSPLIT(nzcathist!L116, ",")),
      Sheet1!$A$2:$A$62,
      INDEX(Sheet1!$B$2:$AY$62, , MATCH(nzcathist!B116, Sheet1!$B$1:$AY$1, 0))
    ),
    0
  )
)</f>
        <v>209860</v>
      </c>
    </row>
    <row r="117" spans="1:13" x14ac:dyDescent="0.35">
      <c r="A117">
        <v>116</v>
      </c>
      <c r="B117">
        <v>1988</v>
      </c>
      <c r="C117">
        <v>3</v>
      </c>
      <c r="D117" s="1">
        <v>46228</v>
      </c>
      <c r="E117" s="2">
        <v>32349</v>
      </c>
      <c r="F117" t="s">
        <v>275</v>
      </c>
      <c r="G117" t="s">
        <v>17</v>
      </c>
      <c r="H117" t="s">
        <v>276</v>
      </c>
      <c r="I117">
        <v>2.5</v>
      </c>
      <c r="J117">
        <v>4.53</v>
      </c>
      <c r="K117">
        <v>4.68</v>
      </c>
      <c r="L117" s="6" t="s">
        <v>277</v>
      </c>
      <c r="M117" s="7" cm="1">
        <f t="array" ref="M117">SUM(
  IFERROR(
    _xlfn.XLOOKUP(
      TRIM(_xlfn.TEXTSPLIT(nzcathist!L117, ",")),
      Sheet1!$A$2:$A$62,
      INDEX(Sheet1!$B$2:$AY$62, , MATCH(nzcathist!B117, Sheet1!$B$1:$AY$1, 0))
    ),
    0
  )
)</f>
        <v>135286.20000000001</v>
      </c>
    </row>
    <row r="118" spans="1:13" x14ac:dyDescent="0.35">
      <c r="A118">
        <v>117</v>
      </c>
      <c r="B118">
        <v>1988</v>
      </c>
      <c r="C118">
        <v>1</v>
      </c>
      <c r="D118" s="1">
        <v>46089</v>
      </c>
      <c r="E118" s="2">
        <v>32210</v>
      </c>
      <c r="F118" t="s">
        <v>278</v>
      </c>
      <c r="G118" t="s">
        <v>29</v>
      </c>
      <c r="H118" t="s">
        <v>14</v>
      </c>
      <c r="I118">
        <v>37</v>
      </c>
      <c r="J118">
        <v>68.08</v>
      </c>
      <c r="K118">
        <v>70.41</v>
      </c>
      <c r="L118" s="6" t="s">
        <v>279</v>
      </c>
      <c r="M118" s="7" cm="1">
        <f t="array" ref="M118">SUM(
  IFERROR(
    _xlfn.XLOOKUP(
      TRIM(_xlfn.TEXTSPLIT(nzcathist!L118, ",")),
      Sheet1!$A$2:$A$62,
      INDEX(Sheet1!$B$2:$AY$62, , MATCH(nzcathist!B118, Sheet1!$B$1:$AY$1, 0))
    ),
    0
  )
)</f>
        <v>205948</v>
      </c>
    </row>
    <row r="119" spans="1:13" x14ac:dyDescent="0.35">
      <c r="A119">
        <v>118</v>
      </c>
      <c r="B119">
        <v>1988</v>
      </c>
      <c r="C119">
        <v>3</v>
      </c>
      <c r="D119" s="1">
        <v>46266</v>
      </c>
      <c r="E119" s="2">
        <v>32387</v>
      </c>
      <c r="F119" t="s">
        <v>280</v>
      </c>
      <c r="G119" t="s">
        <v>17</v>
      </c>
      <c r="H119" t="s">
        <v>166</v>
      </c>
      <c r="I119">
        <v>13.4</v>
      </c>
      <c r="J119">
        <v>24.21</v>
      </c>
      <c r="K119">
        <v>25.08</v>
      </c>
      <c r="L119" s="6" t="s">
        <v>167</v>
      </c>
      <c r="M119" s="7" cm="1">
        <f t="array" ref="M119">SUM(
  IFERROR(
    _xlfn.XLOOKUP(
      TRIM(_xlfn.TEXTSPLIT(nzcathist!L119, ",")),
      Sheet1!$A$2:$A$62,
      INDEX(Sheet1!$B$2:$AY$62, , MATCH(nzcathist!B119, Sheet1!$B$1:$AY$1, 0))
    ),
    0
  )
)</f>
        <v>19161.2</v>
      </c>
    </row>
    <row r="120" spans="1:13" x14ac:dyDescent="0.35">
      <c r="A120">
        <v>119</v>
      </c>
      <c r="B120">
        <v>1988</v>
      </c>
      <c r="C120">
        <v>2</v>
      </c>
      <c r="D120" s="1">
        <v>46143</v>
      </c>
      <c r="E120" s="2">
        <v>32264</v>
      </c>
      <c r="F120" t="s">
        <v>280</v>
      </c>
      <c r="G120" t="s">
        <v>17</v>
      </c>
      <c r="H120" t="s">
        <v>166</v>
      </c>
      <c r="I120">
        <v>3.2</v>
      </c>
      <c r="J120">
        <v>5.85</v>
      </c>
      <c r="K120">
        <v>6.04</v>
      </c>
      <c r="L120" s="6" t="s">
        <v>167</v>
      </c>
      <c r="M120" s="7" cm="1">
        <f t="array" ref="M120">SUM(
  IFERROR(
    _xlfn.XLOOKUP(
      TRIM(_xlfn.TEXTSPLIT(nzcathist!L120, ",")),
      Sheet1!$A$2:$A$62,
      INDEX(Sheet1!$B$2:$AY$62, , MATCH(nzcathist!B120, Sheet1!$B$1:$AY$1, 0))
    ),
    0
  )
)</f>
        <v>19161.2</v>
      </c>
    </row>
    <row r="121" spans="1:13" x14ac:dyDescent="0.35">
      <c r="A121">
        <v>120</v>
      </c>
      <c r="B121">
        <v>1987</v>
      </c>
      <c r="C121">
        <v>1</v>
      </c>
      <c r="D121" t="s">
        <v>14</v>
      </c>
      <c r="E121" t="s">
        <v>14</v>
      </c>
      <c r="F121" t="s">
        <v>281</v>
      </c>
      <c r="G121" t="s">
        <v>42</v>
      </c>
      <c r="H121" t="s">
        <v>97</v>
      </c>
      <c r="I121">
        <v>192</v>
      </c>
      <c r="J121">
        <v>371.12</v>
      </c>
      <c r="K121">
        <v>398.17</v>
      </c>
      <c r="L121" s="6" t="s">
        <v>98</v>
      </c>
      <c r="M121" s="7" cm="1">
        <f t="array" ref="M121">SUM(
  IFERROR(
    _xlfn.XLOOKUP(
      TRIM(_xlfn.TEXTSPLIT(nzcathist!L121, ",")),
      Sheet1!$A$2:$A$62,
      INDEX(Sheet1!$B$2:$AY$62, , MATCH(nzcathist!B121, Sheet1!$B$1:$AY$1, 0))
    ),
    0
  )
)</f>
        <v>132565.79999999999</v>
      </c>
    </row>
    <row r="122" spans="1:13" x14ac:dyDescent="0.35">
      <c r="A122">
        <v>121</v>
      </c>
      <c r="B122">
        <v>1986</v>
      </c>
      <c r="C122">
        <v>1</v>
      </c>
      <c r="D122" t="s">
        <v>14</v>
      </c>
      <c r="E122" t="s">
        <v>14</v>
      </c>
      <c r="F122" t="s">
        <v>235</v>
      </c>
      <c r="G122" t="s">
        <v>17</v>
      </c>
      <c r="H122" t="s">
        <v>13</v>
      </c>
      <c r="I122">
        <v>0.4</v>
      </c>
      <c r="J122">
        <v>0.92</v>
      </c>
      <c r="K122">
        <v>0.98</v>
      </c>
      <c r="L122" s="6" t="s">
        <v>15</v>
      </c>
      <c r="M122" s="7" cm="1">
        <f t="array" ref="M122">SUM(
  IFERROR(
    _xlfn.XLOOKUP(
      TRIM(_xlfn.TEXTSPLIT(nzcathist!L122, ",")),
      Sheet1!$A$2:$A$62,
      INDEX(Sheet1!$B$2:$AY$62, , MATCH(nzcathist!B122, Sheet1!$B$1:$AY$1, 0))
    ),
    0
  )
)</f>
        <v>834577</v>
      </c>
    </row>
    <row r="123" spans="1:13" x14ac:dyDescent="0.35">
      <c r="A123">
        <v>122</v>
      </c>
      <c r="B123">
        <v>1986</v>
      </c>
      <c r="C123">
        <v>1</v>
      </c>
      <c r="D123" t="s">
        <v>14</v>
      </c>
      <c r="E123" t="s">
        <v>14</v>
      </c>
      <c r="F123" t="s">
        <v>71</v>
      </c>
      <c r="G123" t="s">
        <v>17</v>
      </c>
      <c r="H123" t="s">
        <v>72</v>
      </c>
      <c r="I123">
        <v>0.4</v>
      </c>
      <c r="J123">
        <v>0.92</v>
      </c>
      <c r="K123">
        <v>0.98</v>
      </c>
      <c r="L123" s="6" t="s">
        <v>282</v>
      </c>
      <c r="M123" s="7" cm="1">
        <f t="array" ref="M123">SUM(
  IFERROR(
    _xlfn.XLOOKUP(
      TRIM(_xlfn.TEXTSPLIT(nzcathist!L123, ",")),
      Sheet1!$A$2:$A$62,
      INDEX(Sheet1!$B$2:$AY$62, , MATCH(nzcathist!B123, Sheet1!$B$1:$AY$1, 0))
    ),
    0
  )
)</f>
        <v>86622</v>
      </c>
    </row>
    <row r="124" spans="1:13" x14ac:dyDescent="0.35">
      <c r="A124">
        <v>123</v>
      </c>
      <c r="B124">
        <v>1986</v>
      </c>
      <c r="C124">
        <v>1</v>
      </c>
      <c r="D124" s="1">
        <v>46094</v>
      </c>
      <c r="E124" s="2">
        <v>31484</v>
      </c>
      <c r="F124" t="s">
        <v>283</v>
      </c>
      <c r="G124" t="s">
        <v>17</v>
      </c>
      <c r="H124" t="s">
        <v>284</v>
      </c>
      <c r="I124">
        <v>18.5</v>
      </c>
      <c r="J124">
        <v>43.88</v>
      </c>
      <c r="K124">
        <v>45.38</v>
      </c>
      <c r="L124" s="6" t="s">
        <v>285</v>
      </c>
      <c r="M124" s="7" cm="1">
        <f t="array" ref="M124">SUM(
  IFERROR(
    _xlfn.XLOOKUP(
      TRIM(_xlfn.TEXTSPLIT(nzcathist!L124, ",")),
      Sheet1!$A$2:$A$62,
      INDEX(Sheet1!$B$2:$AY$62, , MATCH(nzcathist!B124, Sheet1!$B$1:$AY$1, 0))
    ),
    0
  )
)</f>
        <v>473283</v>
      </c>
    </row>
    <row r="125" spans="1:13" x14ac:dyDescent="0.35">
      <c r="A125">
        <v>124</v>
      </c>
      <c r="B125">
        <v>1985</v>
      </c>
      <c r="C125">
        <v>1</v>
      </c>
      <c r="D125" t="s">
        <v>14</v>
      </c>
      <c r="E125" t="s">
        <v>14</v>
      </c>
      <c r="F125" t="s">
        <v>286</v>
      </c>
      <c r="G125" t="s">
        <v>123</v>
      </c>
      <c r="H125" t="s">
        <v>286</v>
      </c>
      <c r="I125">
        <v>5.9</v>
      </c>
      <c r="J125">
        <v>14.98</v>
      </c>
      <c r="K125">
        <v>16.350000000000001</v>
      </c>
      <c r="L125" s="6" t="s">
        <v>287</v>
      </c>
      <c r="M125" s="7" cm="1">
        <f t="array" ref="M125">SUM(
  IFERROR(
    _xlfn.XLOOKUP(
      TRIM(_xlfn.TEXTSPLIT(nzcathist!L125, ",")),
      Sheet1!$A$2:$A$62,
      INDEX(Sheet1!$B$2:$AY$62, , MATCH(nzcathist!B125, Sheet1!$B$1:$AY$1, 0))
    ),
    0
  )
)</f>
        <v>7153.7</v>
      </c>
    </row>
    <row r="126" spans="1:13" x14ac:dyDescent="0.35">
      <c r="A126">
        <v>125</v>
      </c>
      <c r="B126">
        <v>1985</v>
      </c>
      <c r="C126">
        <v>1</v>
      </c>
      <c r="D126" t="s">
        <v>14</v>
      </c>
      <c r="E126" t="s">
        <v>14</v>
      </c>
      <c r="F126" t="s">
        <v>288</v>
      </c>
      <c r="G126" t="s">
        <v>123</v>
      </c>
      <c r="H126" t="s">
        <v>288</v>
      </c>
      <c r="I126">
        <v>1.4</v>
      </c>
      <c r="J126">
        <v>3.55</v>
      </c>
      <c r="K126">
        <v>3.88</v>
      </c>
      <c r="L126" s="6" t="s">
        <v>173</v>
      </c>
      <c r="M126" s="7" cm="1">
        <f t="array" ref="M126">SUM(
  IFERROR(
    _xlfn.XLOOKUP(
      TRIM(_xlfn.TEXTSPLIT(nzcathist!L126, ",")),
      Sheet1!$A$2:$A$62,
      INDEX(Sheet1!$B$2:$AY$62, , MATCH(nzcathist!B126, Sheet1!$B$1:$AY$1, 0))
    ),
    0
  )
)</f>
        <v>374411.8</v>
      </c>
    </row>
    <row r="127" spans="1:13" x14ac:dyDescent="0.35">
      <c r="A127">
        <v>126</v>
      </c>
      <c r="B127">
        <v>1985</v>
      </c>
      <c r="C127">
        <v>1</v>
      </c>
      <c r="D127" t="s">
        <v>14</v>
      </c>
      <c r="E127" t="s">
        <v>14</v>
      </c>
      <c r="F127" t="s">
        <v>235</v>
      </c>
      <c r="G127" t="s">
        <v>17</v>
      </c>
      <c r="H127" t="s">
        <v>13</v>
      </c>
      <c r="I127">
        <v>3.6</v>
      </c>
      <c r="J127">
        <v>9.14</v>
      </c>
      <c r="K127">
        <v>9.98</v>
      </c>
      <c r="L127" s="6" t="s">
        <v>15</v>
      </c>
      <c r="M127" s="7" cm="1">
        <f t="array" ref="M127">SUM(
  IFERROR(
    _xlfn.XLOOKUP(
      TRIM(_xlfn.TEXTSPLIT(nzcathist!L127, ",")),
      Sheet1!$A$2:$A$62,
      INDEX(Sheet1!$B$2:$AY$62, , MATCH(nzcathist!B127, Sheet1!$B$1:$AY$1, 0))
    ),
    0
  )
)</f>
        <v>826687.79999999993</v>
      </c>
    </row>
    <row r="128" spans="1:13" x14ac:dyDescent="0.35">
      <c r="A128">
        <v>127</v>
      </c>
      <c r="B128">
        <v>1985</v>
      </c>
      <c r="C128">
        <v>1</v>
      </c>
      <c r="D128" t="s">
        <v>14</v>
      </c>
      <c r="E128" t="s">
        <v>14</v>
      </c>
      <c r="F128" t="s">
        <v>289</v>
      </c>
      <c r="G128" t="s">
        <v>123</v>
      </c>
      <c r="H128" t="s">
        <v>290</v>
      </c>
      <c r="I128">
        <v>0.8</v>
      </c>
      <c r="J128">
        <v>2.0299999999999998</v>
      </c>
      <c r="K128">
        <v>2.2200000000000002</v>
      </c>
      <c r="L128" s="6" t="s">
        <v>291</v>
      </c>
      <c r="M128" s="7" cm="1">
        <f t="array" ref="M128">SUM(
  IFERROR(
    _xlfn.XLOOKUP(
      TRIM(_xlfn.TEXTSPLIT(nzcathist!L128, ",")),
      Sheet1!$A$2:$A$62,
      INDEX(Sheet1!$B$2:$AY$62, , MATCH(nzcathist!B128, Sheet1!$B$1:$AY$1, 0))
    ),
    0
  )
)</f>
        <v>0</v>
      </c>
    </row>
    <row r="129" spans="1:13" x14ac:dyDescent="0.35">
      <c r="A129">
        <v>128</v>
      </c>
      <c r="B129">
        <v>1985</v>
      </c>
      <c r="C129">
        <v>1</v>
      </c>
      <c r="D129" t="s">
        <v>14</v>
      </c>
      <c r="E129" t="s">
        <v>14</v>
      </c>
      <c r="F129" t="s">
        <v>292</v>
      </c>
      <c r="G129" t="s">
        <v>17</v>
      </c>
      <c r="H129" t="s">
        <v>82</v>
      </c>
      <c r="I129">
        <v>1.7</v>
      </c>
      <c r="J129">
        <v>4.32</v>
      </c>
      <c r="K129">
        <v>4.71</v>
      </c>
      <c r="L129" s="6" t="s">
        <v>82</v>
      </c>
      <c r="M129" s="7" cm="1">
        <f t="array" ref="M129">SUM(
  IFERROR(
    _xlfn.XLOOKUP(
      TRIM(_xlfn.TEXTSPLIT(nzcathist!L129, ",")),
      Sheet1!$A$2:$A$62,
      INDEX(Sheet1!$B$2:$AY$62, , MATCH(nzcathist!B129, Sheet1!$B$1:$AY$1, 0))
    ),
    0
  )
)</f>
        <v>32193.200000000001</v>
      </c>
    </row>
    <row r="130" spans="1:13" x14ac:dyDescent="0.35">
      <c r="A130">
        <v>129</v>
      </c>
      <c r="B130">
        <v>1985</v>
      </c>
      <c r="C130">
        <v>1</v>
      </c>
      <c r="D130" t="s">
        <v>14</v>
      </c>
      <c r="E130" t="s">
        <v>14</v>
      </c>
      <c r="F130" t="s">
        <v>293</v>
      </c>
      <c r="G130" t="s">
        <v>123</v>
      </c>
      <c r="H130" t="s">
        <v>293</v>
      </c>
      <c r="I130">
        <v>0.9</v>
      </c>
      <c r="J130">
        <v>2.2799999999999998</v>
      </c>
      <c r="K130">
        <v>2.4900000000000002</v>
      </c>
      <c r="L130" s="6" t="s">
        <v>294</v>
      </c>
      <c r="M130" s="7" cm="1">
        <f t="array" ref="M130">SUM(
  IFERROR(
    _xlfn.XLOOKUP(
      TRIM(_xlfn.TEXTSPLIT(nzcathist!L130, ",")),
      Sheet1!$A$2:$A$62,
      INDEX(Sheet1!$B$2:$AY$62, , MATCH(nzcathist!B130, Sheet1!$B$1:$AY$1, 0))
    ),
    0
  )
)</f>
        <v>146488.79999999999</v>
      </c>
    </row>
    <row r="131" spans="1:13" x14ac:dyDescent="0.35">
      <c r="A131">
        <v>130</v>
      </c>
      <c r="B131">
        <v>1985</v>
      </c>
      <c r="C131">
        <v>2</v>
      </c>
      <c r="D131" s="1">
        <v>46143</v>
      </c>
      <c r="E131" s="2">
        <v>31168</v>
      </c>
      <c r="F131" t="s">
        <v>295</v>
      </c>
      <c r="G131" t="s">
        <v>123</v>
      </c>
      <c r="H131" t="s">
        <v>295</v>
      </c>
      <c r="I131">
        <v>2.9</v>
      </c>
      <c r="J131">
        <v>7.6</v>
      </c>
      <c r="K131">
        <v>7.65</v>
      </c>
      <c r="L131" s="6" t="s">
        <v>15</v>
      </c>
      <c r="M131" s="7" cm="1">
        <f t="array" ref="M131">SUM(
  IFERROR(
    _xlfn.XLOOKUP(
      TRIM(_xlfn.TEXTSPLIT(nzcathist!L131, ",")),
      Sheet1!$A$2:$A$62,
      INDEX(Sheet1!$B$2:$AY$62, , MATCH(nzcathist!B131, Sheet1!$B$1:$AY$1, 0))
    ),
    0
  )
)</f>
        <v>826687.79999999993</v>
      </c>
    </row>
    <row r="132" spans="1:13" x14ac:dyDescent="0.35">
      <c r="A132">
        <v>131</v>
      </c>
      <c r="B132">
        <v>1984</v>
      </c>
      <c r="C132">
        <v>1</v>
      </c>
      <c r="D132" t="s">
        <v>14</v>
      </c>
      <c r="E132" t="s">
        <v>14</v>
      </c>
      <c r="F132" t="s">
        <v>280</v>
      </c>
      <c r="G132" t="s">
        <v>17</v>
      </c>
      <c r="H132" t="s">
        <v>166</v>
      </c>
      <c r="I132">
        <v>3.5</v>
      </c>
      <c r="J132">
        <v>10.36</v>
      </c>
      <c r="K132">
        <v>11</v>
      </c>
      <c r="L132" s="6" t="s">
        <v>167</v>
      </c>
      <c r="M132" s="7" cm="1">
        <f t="array" ref="M132">SUM(
  IFERROR(
    _xlfn.XLOOKUP(
      TRIM(_xlfn.TEXTSPLIT(nzcathist!L132, ",")),
      Sheet1!$A$2:$A$62,
      INDEX(Sheet1!$B$2:$AY$62, , MATCH(nzcathist!B132, Sheet1!$B$1:$AY$1, 0))
    ),
    0
  )
)</f>
        <v>19628.599999999999</v>
      </c>
    </row>
    <row r="133" spans="1:13" x14ac:dyDescent="0.35">
      <c r="A133">
        <v>132</v>
      </c>
      <c r="B133">
        <v>1984</v>
      </c>
      <c r="C133">
        <v>1</v>
      </c>
      <c r="D133" t="s">
        <v>14</v>
      </c>
      <c r="E133" t="s">
        <v>14</v>
      </c>
      <c r="F133" t="s">
        <v>235</v>
      </c>
      <c r="G133" t="s">
        <v>17</v>
      </c>
      <c r="H133" t="s">
        <v>13</v>
      </c>
      <c r="I133">
        <v>1.8</v>
      </c>
      <c r="J133">
        <v>5.33</v>
      </c>
      <c r="K133">
        <v>5.66</v>
      </c>
      <c r="L133" s="6" t="s">
        <v>15</v>
      </c>
      <c r="M133" s="7" cm="1">
        <f t="array" ref="M133">SUM(
  IFERROR(
    _xlfn.XLOOKUP(
      TRIM(_xlfn.TEXTSPLIT(nzcathist!L133, ",")),
      Sheet1!$A$2:$A$62,
      INDEX(Sheet1!$B$2:$AY$62, , MATCH(nzcathist!B133, Sheet1!$B$1:$AY$1, 0))
    ),
    0
  )
)</f>
        <v>818798.6</v>
      </c>
    </row>
    <row r="134" spans="1:13" x14ac:dyDescent="0.35">
      <c r="A134">
        <v>133</v>
      </c>
      <c r="B134">
        <v>1984</v>
      </c>
      <c r="C134">
        <v>1</v>
      </c>
      <c r="D134" s="1">
        <v>46023</v>
      </c>
      <c r="E134" s="2">
        <v>30682</v>
      </c>
      <c r="F134" t="s">
        <v>296</v>
      </c>
      <c r="G134" t="s">
        <v>17</v>
      </c>
      <c r="H134" t="s">
        <v>297</v>
      </c>
      <c r="I134">
        <v>45.8</v>
      </c>
      <c r="J134">
        <v>139.51</v>
      </c>
      <c r="K134">
        <v>143.93</v>
      </c>
      <c r="L134" s="6" t="s">
        <v>79</v>
      </c>
      <c r="M134" s="7" cm="1">
        <f t="array" ref="M134">SUM(
  IFERROR(
    _xlfn.XLOOKUP(
      TRIM(_xlfn.TEXTSPLIT(nzcathist!L134, ",")),
      Sheet1!$A$2:$A$62,
      INDEX(Sheet1!$B$2:$AY$62, , MATCH(nzcathist!B134, Sheet1!$B$1:$AY$1, 0))
    ),
    0
  )
)</f>
        <v>184266.6</v>
      </c>
    </row>
    <row r="135" spans="1:13" x14ac:dyDescent="0.35">
      <c r="A135">
        <v>134</v>
      </c>
      <c r="B135">
        <v>1983</v>
      </c>
      <c r="C135">
        <v>1</v>
      </c>
      <c r="D135" t="s">
        <v>14</v>
      </c>
      <c r="E135" t="s">
        <v>14</v>
      </c>
      <c r="F135" t="s">
        <v>298</v>
      </c>
      <c r="G135" t="s">
        <v>31</v>
      </c>
      <c r="H135" t="s">
        <v>161</v>
      </c>
      <c r="I135">
        <v>3.5</v>
      </c>
      <c r="J135">
        <v>10.85</v>
      </c>
      <c r="K135">
        <v>11.38</v>
      </c>
      <c r="L135" s="6" t="s">
        <v>197</v>
      </c>
      <c r="M135" s="7" cm="1">
        <f t="array" ref="M135">SUM(
  IFERROR(
    _xlfn.XLOOKUP(
      TRIM(_xlfn.TEXTSPLIT(nzcathist!L135, ",")),
      Sheet1!$A$2:$A$62,
      INDEX(Sheet1!$B$2:$AY$62, , MATCH(nzcathist!B135, Sheet1!$B$1:$AY$1, 0))
    ),
    0
  )
)</f>
        <v>356078.69999999995</v>
      </c>
    </row>
    <row r="136" spans="1:13" x14ac:dyDescent="0.35">
      <c r="A136">
        <v>135</v>
      </c>
      <c r="B136">
        <v>1983</v>
      </c>
      <c r="C136">
        <v>1</v>
      </c>
      <c r="D136" t="s">
        <v>14</v>
      </c>
      <c r="E136" t="s">
        <v>14</v>
      </c>
      <c r="F136" t="s">
        <v>299</v>
      </c>
      <c r="G136" t="s">
        <v>17</v>
      </c>
      <c r="H136" t="s">
        <v>300</v>
      </c>
      <c r="I136">
        <v>2.2999999999999998</v>
      </c>
      <c r="J136">
        <v>7.13</v>
      </c>
      <c r="K136">
        <v>7.48</v>
      </c>
      <c r="L136" s="6" t="s">
        <v>282</v>
      </c>
      <c r="M136" s="7" cm="1">
        <f t="array" ref="M136">SUM(
  IFERROR(
    _xlfn.XLOOKUP(
      TRIM(_xlfn.TEXTSPLIT(nzcathist!L136, ",")),
      Sheet1!$A$2:$A$62,
      INDEX(Sheet1!$B$2:$AY$62, , MATCH(nzcathist!B136, Sheet1!$B$1:$AY$1, 0))
    ),
    0
  )
)</f>
        <v>85966.799999999988</v>
      </c>
    </row>
    <row r="137" spans="1:13" x14ac:dyDescent="0.35">
      <c r="A137">
        <v>136</v>
      </c>
      <c r="B137">
        <v>1981</v>
      </c>
      <c r="C137">
        <v>1</v>
      </c>
      <c r="D137" s="1">
        <v>46082</v>
      </c>
      <c r="E137" s="2">
        <v>29646</v>
      </c>
      <c r="F137" t="s">
        <v>301</v>
      </c>
      <c r="G137" t="s">
        <v>17</v>
      </c>
      <c r="H137" t="s">
        <v>302</v>
      </c>
      <c r="I137">
        <v>2</v>
      </c>
      <c r="J137">
        <v>8.25</v>
      </c>
      <c r="K137">
        <v>8.48</v>
      </c>
      <c r="L137" s="6" t="s">
        <v>101</v>
      </c>
      <c r="M137" s="7" cm="1">
        <f t="array" ref="M137">SUM(
  IFERROR(
    _xlfn.XLOOKUP(
      TRIM(_xlfn.TEXTSPLIT(nzcathist!L137, ",")),
      Sheet1!$A$2:$A$62,
      INDEX(Sheet1!$B$2:$AY$62, , MATCH(nzcathist!B137, Sheet1!$B$1:$AY$1, 0))
    ),
    0
  )
)</f>
        <v>46265</v>
      </c>
    </row>
    <row r="138" spans="1:13" x14ac:dyDescent="0.35">
      <c r="A138">
        <v>137</v>
      </c>
      <c r="B138">
        <v>1981</v>
      </c>
      <c r="C138">
        <v>2</v>
      </c>
      <c r="D138" s="1">
        <v>46113</v>
      </c>
      <c r="E138" s="2">
        <v>29677</v>
      </c>
      <c r="F138" t="s">
        <v>303</v>
      </c>
      <c r="G138" t="s">
        <v>17</v>
      </c>
      <c r="H138" t="s">
        <v>304</v>
      </c>
      <c r="I138">
        <v>7</v>
      </c>
      <c r="J138">
        <v>28.57</v>
      </c>
      <c r="K138">
        <v>28.56</v>
      </c>
      <c r="L138" s="6" t="s">
        <v>305</v>
      </c>
      <c r="M138" s="7" cm="1">
        <f t="array" ref="M138">SUM(
  IFERROR(
    _xlfn.XLOOKUP(
      TRIM(_xlfn.TEXTSPLIT(nzcathist!L138, ",")),
      Sheet1!$A$2:$A$62,
      INDEX(Sheet1!$B$2:$AY$62, , MATCH(nzcathist!B138, Sheet1!$B$1:$AY$1, 0))
    ),
    0
  )
)</f>
        <v>7084.5</v>
      </c>
    </row>
    <row r="139" spans="1:13" ht="29" x14ac:dyDescent="0.35">
      <c r="A139">
        <v>138</v>
      </c>
      <c r="B139">
        <v>1980</v>
      </c>
      <c r="C139">
        <v>1</v>
      </c>
      <c r="D139" s="1">
        <v>46039</v>
      </c>
      <c r="E139" s="2">
        <v>29237</v>
      </c>
      <c r="F139" t="s">
        <v>306</v>
      </c>
      <c r="G139" t="s">
        <v>17</v>
      </c>
      <c r="H139" t="s">
        <v>240</v>
      </c>
      <c r="I139">
        <v>2.2999999999999998</v>
      </c>
      <c r="J139">
        <v>11.16</v>
      </c>
      <c r="K139">
        <v>11.24</v>
      </c>
      <c r="L139" s="6" t="s">
        <v>241</v>
      </c>
      <c r="M139" s="7" cm="1">
        <f t="array" ref="M139">SUM(
  IFERROR(
    _xlfn.XLOOKUP(
      TRIM(_xlfn.TEXTSPLIT(nzcathist!L139, ",")),
      Sheet1!$A$2:$A$62,
      INDEX(Sheet1!$B$2:$AY$62, , MATCH(nzcathist!B139, Sheet1!$B$1:$AY$1, 0))
    ),
    0
  )
)</f>
        <v>627582.80000000016</v>
      </c>
    </row>
    <row r="140" spans="1:13" x14ac:dyDescent="0.35">
      <c r="A140">
        <v>139</v>
      </c>
      <c r="B140">
        <v>1980</v>
      </c>
      <c r="C140">
        <v>2</v>
      </c>
      <c r="D140" s="1">
        <v>46178</v>
      </c>
      <c r="E140" s="2">
        <v>29377</v>
      </c>
      <c r="F140" t="s">
        <v>307</v>
      </c>
      <c r="G140" t="s">
        <v>17</v>
      </c>
      <c r="H140" t="s">
        <v>308</v>
      </c>
      <c r="I140">
        <v>8</v>
      </c>
      <c r="J140">
        <v>36.549999999999997</v>
      </c>
      <c r="K140">
        <v>37.56</v>
      </c>
      <c r="L140" s="6" t="s">
        <v>309</v>
      </c>
      <c r="M140" s="7" cm="1">
        <f t="array" ref="M140">SUM(
  IFERROR(
    _xlfn.XLOOKUP(
      TRIM(_xlfn.TEXTSPLIT(nzcathist!L140, ",")),
      Sheet1!$A$2:$A$62,
      INDEX(Sheet1!$B$2:$AY$62, , MATCH(nzcathist!B140, Sheet1!$B$1:$AY$1, 0))
    ),
    0
  )
)</f>
        <v>188230</v>
      </c>
    </row>
    <row r="141" spans="1:13" x14ac:dyDescent="0.35">
      <c r="A141">
        <v>140</v>
      </c>
      <c r="B141">
        <v>1980</v>
      </c>
      <c r="C141">
        <v>3</v>
      </c>
      <c r="D141" s="1">
        <v>46235</v>
      </c>
      <c r="E141" s="2">
        <v>29434</v>
      </c>
      <c r="F141" t="s">
        <v>310</v>
      </c>
      <c r="G141" t="s">
        <v>56</v>
      </c>
      <c r="H141" t="s">
        <v>311</v>
      </c>
      <c r="I141">
        <v>1</v>
      </c>
      <c r="J141">
        <v>4.46</v>
      </c>
      <c r="K141">
        <v>4.53</v>
      </c>
      <c r="L141" s="6" t="s">
        <v>15</v>
      </c>
      <c r="M141" s="7" cm="1">
        <f t="array" ref="M141">SUM(
  IFERROR(
    _xlfn.XLOOKUP(
      TRIM(_xlfn.TEXTSPLIT(nzcathist!L141, ",")),
      Sheet1!$A$2:$A$62,
      INDEX(Sheet1!$B$2:$AY$62, , MATCH(nzcathist!B141, Sheet1!$B$1:$AY$1, 0))
    ),
    0
  )
)</f>
        <v>787241.79999999993</v>
      </c>
    </row>
    <row r="142" spans="1:13" x14ac:dyDescent="0.35">
      <c r="A142">
        <v>141</v>
      </c>
      <c r="B142">
        <v>1978</v>
      </c>
      <c r="C142">
        <v>4</v>
      </c>
      <c r="D142" s="1">
        <v>46311</v>
      </c>
      <c r="E142" s="2">
        <v>28779</v>
      </c>
      <c r="F142" t="s">
        <v>270</v>
      </c>
      <c r="G142" t="s">
        <v>17</v>
      </c>
      <c r="H142" t="s">
        <v>271</v>
      </c>
      <c r="I142">
        <v>10.3</v>
      </c>
      <c r="J142">
        <v>59.94</v>
      </c>
      <c r="K142">
        <v>60.96</v>
      </c>
      <c r="L142" s="6" t="s">
        <v>170</v>
      </c>
      <c r="M142" s="7" cm="1">
        <f t="array" ref="M142">SUM(
  IFERROR(
    _xlfn.XLOOKUP(
      TRIM(_xlfn.TEXTSPLIT(nzcathist!L142, ",")),
      Sheet1!$A$2:$A$62,
      INDEX(Sheet1!$B$2:$AY$62, , MATCH(nzcathist!B142, Sheet1!$B$1:$AY$1, 0))
    ),
    0
  )
)</f>
        <v>120283.39999999998</v>
      </c>
    </row>
    <row r="143" spans="1:13" x14ac:dyDescent="0.35">
      <c r="A143">
        <v>142</v>
      </c>
      <c r="B143">
        <v>1976</v>
      </c>
      <c r="C143">
        <v>1</v>
      </c>
      <c r="D143" t="s">
        <v>14</v>
      </c>
      <c r="E143" t="s">
        <v>14</v>
      </c>
      <c r="F143" t="s">
        <v>312</v>
      </c>
      <c r="G143" t="s">
        <v>17</v>
      </c>
      <c r="H143" t="s">
        <v>288</v>
      </c>
      <c r="I143">
        <v>6.2</v>
      </c>
      <c r="J143">
        <v>47.55</v>
      </c>
      <c r="K143">
        <v>51.61</v>
      </c>
      <c r="L143" s="6" t="s">
        <v>173</v>
      </c>
      <c r="M143" s="7" cm="1">
        <f t="array" ref="M143">SUM(
  IFERROR(
    _xlfn.XLOOKUP(
      TRIM(_xlfn.TEXTSPLIT(nzcathist!L143, ",")),
      Sheet1!$A$2:$A$62,
      INDEX(Sheet1!$B$2:$AY$62, , MATCH(nzcathist!B143, Sheet1!$B$1:$AY$1, 0))
    ),
    0
  )
)</f>
        <v>370162</v>
      </c>
    </row>
    <row r="144" spans="1:13" x14ac:dyDescent="0.35">
      <c r="A144">
        <v>143</v>
      </c>
      <c r="B144">
        <v>1975</v>
      </c>
      <c r="C144">
        <v>3</v>
      </c>
      <c r="D144" s="1">
        <v>46235</v>
      </c>
      <c r="E144" s="2">
        <v>27607</v>
      </c>
      <c r="F144" t="s">
        <v>204</v>
      </c>
      <c r="G144" t="s">
        <v>31</v>
      </c>
      <c r="H144" t="s">
        <v>32</v>
      </c>
      <c r="I144">
        <v>7</v>
      </c>
      <c r="J144">
        <v>62.41</v>
      </c>
      <c r="K144">
        <v>63.35</v>
      </c>
      <c r="L144" s="6" t="s">
        <v>115</v>
      </c>
      <c r="M144" s="7" cm="1">
        <f t="array" ref="M144">SUM(
  IFERROR(
    _xlfn.XLOOKUP(
      TRIM(_xlfn.TEXTSPLIT(nzcathist!L144, ",")),
      Sheet1!$A$2:$A$62,
      INDEX(Sheet1!$B$2:$AY$62, , MATCH(nzcathist!B144, Sheet1!$B$1:$AY$1, 0))
    ),
    0
  )
)</f>
        <v>369111.4</v>
      </c>
    </row>
    <row r="145" spans="1:13" x14ac:dyDescent="0.35">
      <c r="A145">
        <v>144</v>
      </c>
      <c r="B145">
        <v>1968</v>
      </c>
      <c r="C145">
        <v>1</v>
      </c>
      <c r="D145" s="1">
        <v>46122</v>
      </c>
      <c r="E145" s="2">
        <v>24907</v>
      </c>
      <c r="F145" t="s">
        <v>313</v>
      </c>
      <c r="G145" t="s">
        <v>31</v>
      </c>
      <c r="H145" t="s">
        <v>314</v>
      </c>
      <c r="I145">
        <v>3.5</v>
      </c>
      <c r="J145">
        <v>57.4</v>
      </c>
      <c r="K145">
        <v>59.72</v>
      </c>
      <c r="L145" s="6" t="s">
        <v>173</v>
      </c>
      <c r="M145" s="7" cm="1">
        <f t="array" ref="M145">SUM(
  IFERROR(
    _xlfn.XLOOKUP(
      TRIM(_xlfn.TEXTSPLIT(nzcathist!L145, ",")),
      Sheet1!$A$2:$A$62,
      INDEX(Sheet1!$B$2:$AY$62, , MATCH(nzcathist!B145, Sheet1!$B$1:$AY$1, 0))
    ),
    0
  )
)</f>
        <v>325947.13489642227</v>
      </c>
    </row>
    <row r="146" spans="1:13" x14ac:dyDescent="0.35">
      <c r="A146">
        <v>145</v>
      </c>
      <c r="B146">
        <v>1968</v>
      </c>
      <c r="C146">
        <v>1</v>
      </c>
      <c r="D146" s="1">
        <v>46122</v>
      </c>
      <c r="E146" s="2">
        <v>24907</v>
      </c>
      <c r="F146" t="s">
        <v>315</v>
      </c>
      <c r="G146" t="s">
        <v>123</v>
      </c>
      <c r="H146" t="s">
        <v>314</v>
      </c>
      <c r="I146">
        <v>10</v>
      </c>
      <c r="J146">
        <v>164</v>
      </c>
      <c r="K146">
        <v>170.62</v>
      </c>
      <c r="L146" s="6" t="s">
        <v>173</v>
      </c>
      <c r="M146" s="7" cm="1">
        <f t="array" ref="M146">SUM(
  IFERROR(
    _xlfn.XLOOKUP(
      TRIM(_xlfn.TEXTSPLIT(nzcathist!L146, ",")),
      Sheet1!$A$2:$A$62,
      INDEX(Sheet1!$B$2:$AY$62, , MATCH(nzcathist!B146, Sheet1!$B$1:$AY$1, 0))
    ),
    0
  )
)</f>
        <v>325947.13489642227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907F-6509-4C1F-BC6D-A369E8AC0135}">
  <dimension ref="A1:BD62"/>
  <sheetViews>
    <sheetView topLeftCell="AL1" workbookViewId="0">
      <selection activeCell="F15" sqref="F15"/>
    </sheetView>
  </sheetViews>
  <sheetFormatPr defaultRowHeight="14.5" x14ac:dyDescent="0.35"/>
  <cols>
    <col min="1" max="1" width="15.81640625" customWidth="1"/>
    <col min="2" max="2" width="7.81640625" bestFit="1" customWidth="1"/>
    <col min="3" max="11" width="8.81640625" bestFit="1" customWidth="1"/>
    <col min="12" max="12" width="7.81640625" bestFit="1" customWidth="1"/>
    <col min="13" max="21" width="8.81640625" bestFit="1" customWidth="1"/>
    <col min="22" max="22" width="7.81640625" bestFit="1" customWidth="1"/>
    <col min="23" max="31" width="8.81640625" bestFit="1" customWidth="1"/>
    <col min="32" max="32" width="7.81640625" bestFit="1" customWidth="1"/>
    <col min="33" max="36" width="9.81640625" bestFit="1" customWidth="1"/>
    <col min="37" max="37" width="8.81640625" customWidth="1"/>
    <col min="38" max="41" width="9.81640625" bestFit="1" customWidth="1"/>
    <col min="42" max="42" width="7.81640625" bestFit="1" customWidth="1"/>
    <col min="43" max="51" width="11.81640625" bestFit="1" customWidth="1"/>
  </cols>
  <sheetData>
    <row r="1" spans="1:56" x14ac:dyDescent="0.35">
      <c r="A1" t="s">
        <v>316</v>
      </c>
      <c r="B1">
        <v>1966</v>
      </c>
      <c r="C1">
        <v>1967</v>
      </c>
      <c r="D1" s="3">
        <v>1968</v>
      </c>
      <c r="E1">
        <v>1969</v>
      </c>
      <c r="F1">
        <v>1970</v>
      </c>
      <c r="G1">
        <v>1971</v>
      </c>
      <c r="H1">
        <v>1972</v>
      </c>
      <c r="I1">
        <v>1973</v>
      </c>
      <c r="J1">
        <v>1974</v>
      </c>
      <c r="K1">
        <v>1975</v>
      </c>
      <c r="L1">
        <v>1976</v>
      </c>
      <c r="M1">
        <v>1977</v>
      </c>
      <c r="N1">
        <v>1978</v>
      </c>
      <c r="O1">
        <v>1979</v>
      </c>
      <c r="P1">
        <v>1980</v>
      </c>
      <c r="Q1">
        <v>1981</v>
      </c>
      <c r="R1">
        <v>1982</v>
      </c>
      <c r="S1">
        <v>1983</v>
      </c>
      <c r="T1">
        <v>1984</v>
      </c>
      <c r="U1">
        <v>1985</v>
      </c>
      <c r="V1">
        <v>1986</v>
      </c>
      <c r="W1">
        <v>1987</v>
      </c>
      <c r="X1">
        <v>1988</v>
      </c>
      <c r="Y1">
        <v>1989</v>
      </c>
      <c r="Z1">
        <v>1990</v>
      </c>
      <c r="AA1">
        <v>1991</v>
      </c>
      <c r="AB1">
        <v>1992</v>
      </c>
      <c r="AC1">
        <v>1993</v>
      </c>
      <c r="AD1">
        <v>1994</v>
      </c>
      <c r="AE1">
        <v>1995</v>
      </c>
      <c r="AF1">
        <v>1996</v>
      </c>
      <c r="AG1">
        <v>1997</v>
      </c>
      <c r="AH1">
        <v>1998</v>
      </c>
      <c r="AI1">
        <v>1999</v>
      </c>
      <c r="AJ1">
        <v>2000</v>
      </c>
      <c r="AK1">
        <v>2001</v>
      </c>
      <c r="AL1">
        <v>2002</v>
      </c>
      <c r="AM1">
        <v>2003</v>
      </c>
      <c r="AN1">
        <v>2004</v>
      </c>
      <c r="AO1">
        <v>2005</v>
      </c>
      <c r="AP1">
        <v>2006</v>
      </c>
      <c r="AQ1">
        <v>2007</v>
      </c>
      <c r="AR1">
        <v>2008</v>
      </c>
      <c r="AS1">
        <v>2009</v>
      </c>
      <c r="AT1">
        <v>2010</v>
      </c>
      <c r="AU1">
        <v>2011</v>
      </c>
      <c r="AV1">
        <v>2012</v>
      </c>
      <c r="AW1">
        <v>2013</v>
      </c>
      <c r="AX1">
        <v>2014</v>
      </c>
      <c r="AY1">
        <v>2015</v>
      </c>
    </row>
    <row r="2" spans="1:56" x14ac:dyDescent="0.35">
      <c r="A2" t="s">
        <v>317</v>
      </c>
      <c r="B2">
        <v>13755</v>
      </c>
      <c r="C2">
        <f t="shared" ref="C2:C25" si="0">$L2-($L2-$B2)*(9/10)</f>
        <v>13923.6</v>
      </c>
      <c r="D2">
        <f t="shared" ref="D2:D25" si="1">$L2-($L2-$B2)*(8/10)</f>
        <v>14092.2</v>
      </c>
      <c r="E2">
        <f t="shared" ref="E2:E25" si="2">$L2-($L2-$B2)*(7/10)</f>
        <v>14260.8</v>
      </c>
      <c r="F2">
        <f t="shared" ref="F2:F25" si="3">$L2-($L2-$B2)*(6/10)</f>
        <v>14429.4</v>
      </c>
      <c r="G2">
        <f t="shared" ref="G2:G25" si="4">$L2-($L2-$B2)*(5/10)</f>
        <v>14598</v>
      </c>
      <c r="H2">
        <f t="shared" ref="H2:H25" si="5">$L2-($L2-$B2)*(4/10)</f>
        <v>14766.6</v>
      </c>
      <c r="I2">
        <f t="shared" ref="I2:I25" si="6">$L2-($L2-$B2)*(3/10)</f>
        <v>14935.2</v>
      </c>
      <c r="J2">
        <f t="shared" ref="J2:J25" si="7">$L2-($L2-$B2)*(2/10)</f>
        <v>15103.8</v>
      </c>
      <c r="K2">
        <f t="shared" ref="K2:K25" si="8">$L2-($L2-$B2)*(1/10)</f>
        <v>15272.4</v>
      </c>
      <c r="L2">
        <v>15441</v>
      </c>
      <c r="M2">
        <f t="shared" ref="M2:M33" si="9">$V2-($V2-$L2)*(9/10)</f>
        <v>15419.8</v>
      </c>
      <c r="N2">
        <f t="shared" ref="N2:N33" si="10">$V2-($V2-$L2)*(8/10)</f>
        <v>15398.6</v>
      </c>
      <c r="O2">
        <f t="shared" ref="O2:O33" si="11">$V2-($V2-$L2)*(7/10)</f>
        <v>15377.4</v>
      </c>
      <c r="P2">
        <f t="shared" ref="P2:P33" si="12">$V2-($V2-$L2)*(6/10)</f>
        <v>15356.2</v>
      </c>
      <c r="Q2">
        <f t="shared" ref="Q2:Q33" si="13">$V2-($V2-$L2)*(5/10)</f>
        <v>15335</v>
      </c>
      <c r="R2">
        <f t="shared" ref="R2:R33" si="14">$V2-($V2-$L2)*(4/10)</f>
        <v>15313.8</v>
      </c>
      <c r="S2">
        <f t="shared" ref="S2:S33" si="15">$V2-($V2-$L2)*(3/10)</f>
        <v>15292.6</v>
      </c>
      <c r="T2">
        <f t="shared" ref="T2:T33" si="16">$V2-($V2-$L2)*(2/10)</f>
        <v>15271.4</v>
      </c>
      <c r="U2">
        <f t="shared" ref="U2:U33" si="17">$V2-($V2-$L2)*(1/10)</f>
        <v>15250.2</v>
      </c>
      <c r="V2">
        <v>15229</v>
      </c>
      <c r="W2">
        <f t="shared" ref="W2:W33" si="18">$AF2-($AF2-$V2)*(9/10)</f>
        <v>15230.5</v>
      </c>
      <c r="X2">
        <f t="shared" ref="X2:X33" si="19">$AF2-($AF2-$V2)*(8/10)</f>
        <v>15232</v>
      </c>
      <c r="Y2">
        <f t="shared" ref="Y2:Y33" si="20">$AF2-($AF2-$V2)*(7/10)</f>
        <v>15233.5</v>
      </c>
      <c r="Z2">
        <f t="shared" ref="Z2:Z33" si="21">$AF2-($AF2-$V2)*(6/10)</f>
        <v>15235</v>
      </c>
      <c r="AA2">
        <f t="shared" ref="AA2:AA33" si="22">$AF2-($AF2-$V2)*(5/10)</f>
        <v>15236.5</v>
      </c>
      <c r="AB2">
        <f t="shared" ref="AB2:AB33" si="23">$AF2-($AF2-$V2)*(4/10)</f>
        <v>15238</v>
      </c>
      <c r="AC2">
        <f t="shared" ref="AC2:AC33" si="24">$AF2-($AF2-$V2)*(3/10)</f>
        <v>15239.5</v>
      </c>
      <c r="AD2">
        <f t="shared" ref="AD2:AD33" si="25">$AF2-($AF2-$V2)*(2/10)</f>
        <v>15241</v>
      </c>
      <c r="AE2">
        <f t="shared" ref="AE2:AE33" si="26">$AF2-($AF2-$V2)*(1/10)</f>
        <v>15242.5</v>
      </c>
      <c r="AF2">
        <v>15244</v>
      </c>
      <c r="AG2">
        <f t="shared" ref="AG2:AG33" si="27">$AP2-($AP2-$AF2)*(9/10)</f>
        <v>15343.6</v>
      </c>
      <c r="AH2">
        <f t="shared" ref="AH2:AH33" si="28">$AP2-($AP2-$AF2)*(8/10)</f>
        <v>15443.2</v>
      </c>
      <c r="AI2">
        <f t="shared" ref="AI2:AI33" si="29">$AP2-($AP2-$AF2)*(7/10)</f>
        <v>15542.8</v>
      </c>
      <c r="AJ2">
        <f t="shared" ref="AJ2:AJ33" si="30">$AP2-($AP2-$AF2)*(6/10)</f>
        <v>15642.4</v>
      </c>
      <c r="AK2">
        <f t="shared" ref="AK2:AK33" si="31">$AP2-($AP2-$AF2)*(5/10)</f>
        <v>15742</v>
      </c>
      <c r="AL2">
        <f t="shared" ref="AL2:AL33" si="32">$AP2-($AP2-$AF2)*(4/10)</f>
        <v>15841.6</v>
      </c>
      <c r="AM2">
        <f t="shared" ref="AM2:AM33" si="33">$AP2-($AP2-$AF2)*(3/10)</f>
        <v>15941.2</v>
      </c>
      <c r="AN2">
        <f t="shared" ref="AN2:AN33" si="34">$AP2-($AP2-$AF2)*(2/10)</f>
        <v>16040.8</v>
      </c>
      <c r="AO2">
        <f t="shared" ref="AO2:AO33" si="35">$AP2-($AP2-$AF2)*(1/10)</f>
        <v>16140.4</v>
      </c>
      <c r="AP2">
        <v>16240</v>
      </c>
      <c r="AQ2">
        <f t="shared" ref="AQ2:AQ33" si="36">AP2*(1+((AP2/AO2)-1))</f>
        <v>16340.214616738123</v>
      </c>
      <c r="AR2">
        <f t="shared" ref="AR2:AR33" si="37">AQ2*(1+((AQ2/AP2)-1))</f>
        <v>16441.047642922549</v>
      </c>
      <c r="AS2">
        <f t="shared" ref="AS2:AS33" si="38">AR2*(1+((AR2/AQ2)-1))</f>
        <v>16542.502894665697</v>
      </c>
      <c r="AT2">
        <f t="shared" ref="AT2:AT33" si="39">AS2*(1+((AS2/AR2)-1))</f>
        <v>16644.58421162864</v>
      </c>
      <c r="AU2">
        <f t="shared" ref="AU2:AU33" si="40">AT2*(1+((AT2/AS2)-1))</f>
        <v>16747.295457166434</v>
      </c>
      <c r="AV2">
        <f t="shared" ref="AV2:AV33" si="41">AU2*(1+((AU2/AT2)-1))</f>
        <v>16850.64051847432</v>
      </c>
      <c r="AW2">
        <f t="shared" ref="AW2:AW33" si="42">AV2*(1+((AV2/AU2)-1))</f>
        <v>16954.623306734837</v>
      </c>
      <c r="AX2">
        <f t="shared" ref="AX2:AX33" si="43">AW2*(1+((AW2/AV2)-1))</f>
        <v>17059.24775726585</v>
      </c>
      <c r="AY2">
        <f t="shared" ref="AY2:AY33" si="44">AX2*(1+((AX2/AW2)-1))</f>
        <v>17164.517829669487</v>
      </c>
    </row>
    <row r="3" spans="1:56" x14ac:dyDescent="0.35">
      <c r="A3" t="s">
        <v>13</v>
      </c>
      <c r="B3">
        <v>548293</v>
      </c>
      <c r="C3">
        <f t="shared" si="0"/>
        <v>567742.30000000005</v>
      </c>
      <c r="D3">
        <f t="shared" si="1"/>
        <v>587191.6</v>
      </c>
      <c r="E3">
        <f t="shared" si="2"/>
        <v>606640.9</v>
      </c>
      <c r="F3">
        <f t="shared" si="3"/>
        <v>626090.19999999995</v>
      </c>
      <c r="G3">
        <f t="shared" si="4"/>
        <v>645539.5</v>
      </c>
      <c r="H3">
        <f t="shared" si="5"/>
        <v>664988.80000000005</v>
      </c>
      <c r="I3">
        <f t="shared" si="6"/>
        <v>684438.1</v>
      </c>
      <c r="J3">
        <f t="shared" si="7"/>
        <v>703887.4</v>
      </c>
      <c r="K3">
        <f t="shared" si="8"/>
        <v>723336.7</v>
      </c>
      <c r="L3">
        <v>742786</v>
      </c>
      <c r="M3">
        <f t="shared" si="9"/>
        <v>750582.8</v>
      </c>
      <c r="N3">
        <f t="shared" si="10"/>
        <v>758379.6</v>
      </c>
      <c r="O3">
        <f t="shared" si="11"/>
        <v>766176.4</v>
      </c>
      <c r="P3">
        <f t="shared" si="12"/>
        <v>773973.2</v>
      </c>
      <c r="Q3">
        <f t="shared" si="13"/>
        <v>781770</v>
      </c>
      <c r="R3">
        <f t="shared" si="14"/>
        <v>789566.8</v>
      </c>
      <c r="S3">
        <f t="shared" si="15"/>
        <v>797363.6</v>
      </c>
      <c r="T3">
        <f t="shared" si="16"/>
        <v>805160.4</v>
      </c>
      <c r="U3">
        <f t="shared" si="17"/>
        <v>812957.2</v>
      </c>
      <c r="V3">
        <v>820754</v>
      </c>
      <c r="W3">
        <f t="shared" si="18"/>
        <v>838472.6</v>
      </c>
      <c r="X3">
        <f t="shared" si="19"/>
        <v>856191.2</v>
      </c>
      <c r="Y3">
        <f t="shared" si="20"/>
        <v>873909.8</v>
      </c>
      <c r="Z3">
        <f t="shared" si="21"/>
        <v>891628.4</v>
      </c>
      <c r="AA3">
        <f t="shared" si="22"/>
        <v>909347</v>
      </c>
      <c r="AB3">
        <f t="shared" si="23"/>
        <v>927065.59999999998</v>
      </c>
      <c r="AC3">
        <f t="shared" si="24"/>
        <v>944784.2</v>
      </c>
      <c r="AD3">
        <f t="shared" si="25"/>
        <v>962502.8</v>
      </c>
      <c r="AE3">
        <f t="shared" si="26"/>
        <v>980221.4</v>
      </c>
      <c r="AF3">
        <v>997940</v>
      </c>
      <c r="AG3">
        <f t="shared" si="27"/>
        <v>1018955.4</v>
      </c>
      <c r="AH3">
        <f t="shared" si="28"/>
        <v>1039970.8</v>
      </c>
      <c r="AI3">
        <f t="shared" si="29"/>
        <v>1060986.2</v>
      </c>
      <c r="AJ3">
        <f t="shared" si="30"/>
        <v>1082001.6000000001</v>
      </c>
      <c r="AK3">
        <f t="shared" si="31"/>
        <v>1103017</v>
      </c>
      <c r="AL3">
        <f t="shared" si="32"/>
        <v>1124032.3999999999</v>
      </c>
      <c r="AM3">
        <f t="shared" si="33"/>
        <v>1145047.8</v>
      </c>
      <c r="AN3">
        <f t="shared" si="34"/>
        <v>1166063.2</v>
      </c>
      <c r="AO3">
        <f t="shared" si="35"/>
        <v>1187078.6000000001</v>
      </c>
      <c r="AP3">
        <v>1208094</v>
      </c>
      <c r="AQ3">
        <f t="shared" si="36"/>
        <v>1229481.4453196274</v>
      </c>
      <c r="AR3">
        <f t="shared" si="37"/>
        <v>1251247.522448783</v>
      </c>
      <c r="AS3">
        <f t="shared" si="38"/>
        <v>1273398.9344810362</v>
      </c>
      <c r="AT3">
        <f t="shared" si="39"/>
        <v>1295942.5031779134</v>
      </c>
      <c r="AU3">
        <f t="shared" si="40"/>
        <v>1318885.1710697322</v>
      </c>
      <c r="AV3">
        <f t="shared" si="41"/>
        <v>1342234.0035936264</v>
      </c>
      <c r="AW3">
        <f t="shared" si="42"/>
        <v>1365996.1912694226</v>
      </c>
      <c r="AX3">
        <f t="shared" si="43"/>
        <v>1390179.0519140365</v>
      </c>
      <c r="AY3">
        <f t="shared" si="44"/>
        <v>1414790.0328950719</v>
      </c>
    </row>
    <row r="4" spans="1:56" x14ac:dyDescent="0.35">
      <c r="A4" t="s">
        <v>318</v>
      </c>
      <c r="B4">
        <v>4419</v>
      </c>
      <c r="C4">
        <f t="shared" si="0"/>
        <v>4451.1000000000004</v>
      </c>
      <c r="D4">
        <f t="shared" si="1"/>
        <v>4483.2</v>
      </c>
      <c r="E4">
        <f t="shared" si="2"/>
        <v>4515.3</v>
      </c>
      <c r="F4">
        <f t="shared" si="3"/>
        <v>4547.3999999999996</v>
      </c>
      <c r="G4">
        <f t="shared" si="4"/>
        <v>4579.5</v>
      </c>
      <c r="H4">
        <f t="shared" si="5"/>
        <v>4611.6000000000004</v>
      </c>
      <c r="I4">
        <f t="shared" si="6"/>
        <v>4643.7</v>
      </c>
      <c r="J4">
        <f t="shared" si="7"/>
        <v>4675.8</v>
      </c>
      <c r="K4">
        <f t="shared" si="8"/>
        <v>4707.8999999999996</v>
      </c>
      <c r="L4">
        <v>4740</v>
      </c>
      <c r="M4">
        <f t="shared" si="9"/>
        <v>4688.7</v>
      </c>
      <c r="N4">
        <f t="shared" si="10"/>
        <v>4637.3999999999996</v>
      </c>
      <c r="O4">
        <f t="shared" si="11"/>
        <v>4586.1000000000004</v>
      </c>
      <c r="P4">
        <f t="shared" si="12"/>
        <v>4534.8</v>
      </c>
      <c r="Q4">
        <f t="shared" si="13"/>
        <v>4483.5</v>
      </c>
      <c r="R4">
        <f t="shared" si="14"/>
        <v>4432.2</v>
      </c>
      <c r="S4">
        <f t="shared" si="15"/>
        <v>4380.8999999999996</v>
      </c>
      <c r="T4">
        <f t="shared" si="16"/>
        <v>4329.6000000000004</v>
      </c>
      <c r="U4">
        <f t="shared" si="17"/>
        <v>4278.3</v>
      </c>
      <c r="V4">
        <v>4227</v>
      </c>
      <c r="W4">
        <f t="shared" si="18"/>
        <v>4185.1000000000004</v>
      </c>
      <c r="X4">
        <f t="shared" si="19"/>
        <v>4143.2</v>
      </c>
      <c r="Y4">
        <f t="shared" si="20"/>
        <v>4101.3</v>
      </c>
      <c r="Z4">
        <f t="shared" si="21"/>
        <v>4059.4</v>
      </c>
      <c r="AA4">
        <f t="shared" si="22"/>
        <v>4017.5</v>
      </c>
      <c r="AB4">
        <f t="shared" si="23"/>
        <v>3975.6</v>
      </c>
      <c r="AC4">
        <f t="shared" si="24"/>
        <v>3933.7</v>
      </c>
      <c r="AD4">
        <f t="shared" si="25"/>
        <v>3891.8</v>
      </c>
      <c r="AE4">
        <f t="shared" si="26"/>
        <v>3849.9</v>
      </c>
      <c r="AF4">
        <v>3808</v>
      </c>
      <c r="AG4">
        <f t="shared" si="27"/>
        <v>3791.6</v>
      </c>
      <c r="AH4">
        <f t="shared" si="28"/>
        <v>3775.2</v>
      </c>
      <c r="AI4">
        <f t="shared" si="29"/>
        <v>3758.8</v>
      </c>
      <c r="AJ4">
        <f t="shared" si="30"/>
        <v>3742.4</v>
      </c>
      <c r="AK4">
        <f t="shared" si="31"/>
        <v>3726</v>
      </c>
      <c r="AL4">
        <f t="shared" si="32"/>
        <v>3709.6</v>
      </c>
      <c r="AM4">
        <f t="shared" si="33"/>
        <v>3693.2</v>
      </c>
      <c r="AN4">
        <f t="shared" si="34"/>
        <v>3676.8</v>
      </c>
      <c r="AO4">
        <f t="shared" si="35"/>
        <v>3660.4</v>
      </c>
      <c r="AP4">
        <v>3644</v>
      </c>
      <c r="AQ4">
        <f t="shared" si="36"/>
        <v>3627.6734783083816</v>
      </c>
      <c r="AR4">
        <f t="shared" si="37"/>
        <v>3611.420105714059</v>
      </c>
      <c r="AS4">
        <f t="shared" si="38"/>
        <v>3595.2395544809392</v>
      </c>
      <c r="AT4">
        <f t="shared" si="39"/>
        <v>3579.1314983413126</v>
      </c>
      <c r="AU4">
        <f t="shared" si="40"/>
        <v>3563.0956124892746</v>
      </c>
      <c r="AV4">
        <f t="shared" si="41"/>
        <v>3547.1315735741759</v>
      </c>
      <c r="AW4">
        <f t="shared" si="42"/>
        <v>3531.2390596941027</v>
      </c>
      <c r="AX4">
        <f t="shared" si="43"/>
        <v>3515.4177503893857</v>
      </c>
      <c r="AY4">
        <f t="shared" si="44"/>
        <v>3499.6673266361377</v>
      </c>
    </row>
    <row r="5" spans="1:56" x14ac:dyDescent="0.35">
      <c r="A5" t="s">
        <v>319</v>
      </c>
      <c r="B5">
        <v>16405</v>
      </c>
      <c r="C5">
        <f t="shared" si="0"/>
        <v>16889.900000000001</v>
      </c>
      <c r="D5">
        <f t="shared" si="1"/>
        <v>17374.8</v>
      </c>
      <c r="E5">
        <f t="shared" si="2"/>
        <v>17859.7</v>
      </c>
      <c r="F5">
        <f t="shared" si="3"/>
        <v>18344.599999999999</v>
      </c>
      <c r="G5">
        <f t="shared" si="4"/>
        <v>18829.5</v>
      </c>
      <c r="H5">
        <f t="shared" si="5"/>
        <v>19314.400000000001</v>
      </c>
      <c r="I5">
        <f t="shared" si="6"/>
        <v>19799.3</v>
      </c>
      <c r="J5">
        <f t="shared" si="7"/>
        <v>20284.2</v>
      </c>
      <c r="K5">
        <f t="shared" si="8"/>
        <v>20769.099999999999</v>
      </c>
      <c r="L5">
        <v>21254</v>
      </c>
      <c r="M5">
        <f t="shared" si="9"/>
        <v>21396.7</v>
      </c>
      <c r="N5">
        <f t="shared" si="10"/>
        <v>21539.4</v>
      </c>
      <c r="O5">
        <f t="shared" si="11"/>
        <v>21682.1</v>
      </c>
      <c r="P5">
        <f t="shared" si="12"/>
        <v>21824.799999999999</v>
      </c>
      <c r="Q5">
        <f t="shared" si="13"/>
        <v>21967.5</v>
      </c>
      <c r="R5">
        <f t="shared" si="14"/>
        <v>22110.2</v>
      </c>
      <c r="S5">
        <f t="shared" si="15"/>
        <v>22252.9</v>
      </c>
      <c r="T5">
        <f t="shared" si="16"/>
        <v>22395.599999999999</v>
      </c>
      <c r="U5">
        <f t="shared" si="17"/>
        <v>22538.3</v>
      </c>
      <c r="V5">
        <v>22681</v>
      </c>
      <c r="W5">
        <f t="shared" si="18"/>
        <v>23000.400000000001</v>
      </c>
      <c r="X5">
        <f t="shared" si="19"/>
        <v>23319.8</v>
      </c>
      <c r="Y5">
        <f t="shared" si="20"/>
        <v>23639.200000000001</v>
      </c>
      <c r="Z5">
        <f t="shared" si="21"/>
        <v>23958.6</v>
      </c>
      <c r="AA5">
        <f t="shared" si="22"/>
        <v>24278</v>
      </c>
      <c r="AB5">
        <f t="shared" si="23"/>
        <v>24597.4</v>
      </c>
      <c r="AC5">
        <f t="shared" si="24"/>
        <v>24916.799999999999</v>
      </c>
      <c r="AD5">
        <f t="shared" si="25"/>
        <v>25236.2</v>
      </c>
      <c r="AE5">
        <f t="shared" si="26"/>
        <v>25555.599999999999</v>
      </c>
      <c r="AF5">
        <v>25875</v>
      </c>
      <c r="AG5">
        <f t="shared" si="27"/>
        <v>26140.2</v>
      </c>
      <c r="AH5">
        <f t="shared" si="28"/>
        <v>26405.4</v>
      </c>
      <c r="AI5">
        <f t="shared" si="29"/>
        <v>26670.6</v>
      </c>
      <c r="AJ5">
        <f t="shared" si="30"/>
        <v>26935.8</v>
      </c>
      <c r="AK5">
        <f t="shared" si="31"/>
        <v>27201</v>
      </c>
      <c r="AL5">
        <f t="shared" si="32"/>
        <v>27466.2</v>
      </c>
      <c r="AM5">
        <f t="shared" si="33"/>
        <v>27731.4</v>
      </c>
      <c r="AN5">
        <f t="shared" si="34"/>
        <v>27996.6</v>
      </c>
      <c r="AO5">
        <f t="shared" si="35"/>
        <v>28261.8</v>
      </c>
      <c r="AP5">
        <v>28527</v>
      </c>
      <c r="AQ5">
        <f t="shared" si="36"/>
        <v>28794.688554869113</v>
      </c>
      <c r="AR5">
        <f t="shared" si="37"/>
        <v>29064.889016437424</v>
      </c>
      <c r="AS5">
        <f t="shared" si="38"/>
        <v>29337.624955661366</v>
      </c>
      <c r="AT5">
        <f t="shared" si="39"/>
        <v>29612.920164679948</v>
      </c>
      <c r="AU5">
        <f t="shared" si="40"/>
        <v>29890.798658890264</v>
      </c>
      <c r="AV5">
        <f t="shared" si="41"/>
        <v>30171.28467904247</v>
      </c>
      <c r="AW5">
        <f t="shared" si="42"/>
        <v>30454.402693354441</v>
      </c>
      <c r="AX5">
        <f t="shared" si="43"/>
        <v>30740.17739964624</v>
      </c>
      <c r="AY5">
        <f t="shared" si="44"/>
        <v>31028.633727494649</v>
      </c>
    </row>
    <row r="6" spans="1:56" x14ac:dyDescent="0.35">
      <c r="A6" t="s">
        <v>320</v>
      </c>
      <c r="B6">
        <v>3279</v>
      </c>
      <c r="C6">
        <f t="shared" si="0"/>
        <v>3252.7</v>
      </c>
      <c r="D6">
        <f t="shared" si="1"/>
        <v>3226.4</v>
      </c>
      <c r="E6">
        <f t="shared" si="2"/>
        <v>3200.1</v>
      </c>
      <c r="F6">
        <f t="shared" si="3"/>
        <v>3173.8</v>
      </c>
      <c r="G6">
        <f t="shared" si="4"/>
        <v>3147.5</v>
      </c>
      <c r="H6">
        <f t="shared" si="5"/>
        <v>3121.2</v>
      </c>
      <c r="I6">
        <f t="shared" si="6"/>
        <v>3094.9</v>
      </c>
      <c r="J6">
        <f t="shared" si="7"/>
        <v>3068.6</v>
      </c>
      <c r="K6">
        <f t="shared" si="8"/>
        <v>3042.3</v>
      </c>
      <c r="L6">
        <v>3016</v>
      </c>
      <c r="M6">
        <f t="shared" si="9"/>
        <v>2968.1</v>
      </c>
      <c r="N6">
        <f t="shared" si="10"/>
        <v>2920.2</v>
      </c>
      <c r="O6">
        <f t="shared" si="11"/>
        <v>2872.3</v>
      </c>
      <c r="P6">
        <f t="shared" si="12"/>
        <v>2824.4</v>
      </c>
      <c r="Q6">
        <f t="shared" si="13"/>
        <v>2776.5</v>
      </c>
      <c r="R6">
        <f t="shared" si="14"/>
        <v>2728.6</v>
      </c>
      <c r="S6">
        <f t="shared" si="15"/>
        <v>2680.7</v>
      </c>
      <c r="T6">
        <f t="shared" si="16"/>
        <v>2632.8</v>
      </c>
      <c r="U6">
        <f t="shared" si="17"/>
        <v>2584.9</v>
      </c>
      <c r="V6">
        <v>2537</v>
      </c>
      <c r="W6">
        <f t="shared" si="18"/>
        <v>2484.4</v>
      </c>
      <c r="X6">
        <f t="shared" si="19"/>
        <v>2431.8000000000002</v>
      </c>
      <c r="Y6">
        <f t="shared" si="20"/>
        <v>2379.1999999999998</v>
      </c>
      <c r="Z6">
        <f t="shared" si="21"/>
        <v>2326.6</v>
      </c>
      <c r="AA6">
        <f t="shared" si="22"/>
        <v>2274</v>
      </c>
      <c r="AB6">
        <f t="shared" si="23"/>
        <v>2221.4</v>
      </c>
      <c r="AC6">
        <f t="shared" si="24"/>
        <v>2168.8000000000002</v>
      </c>
      <c r="AD6">
        <f t="shared" si="25"/>
        <v>2116.1999999999998</v>
      </c>
      <c r="AE6">
        <f t="shared" si="26"/>
        <v>2063.6</v>
      </c>
      <c r="AF6">
        <v>2011</v>
      </c>
      <c r="AG6">
        <f t="shared" si="27"/>
        <v>1974.3</v>
      </c>
      <c r="AH6">
        <f t="shared" si="28"/>
        <v>1937.6</v>
      </c>
      <c r="AI6">
        <f t="shared" si="29"/>
        <v>1900.9</v>
      </c>
      <c r="AJ6">
        <f t="shared" si="30"/>
        <v>1864.2</v>
      </c>
      <c r="AK6">
        <f t="shared" si="31"/>
        <v>1827.5</v>
      </c>
      <c r="AL6">
        <f t="shared" si="32"/>
        <v>1790.8</v>
      </c>
      <c r="AM6">
        <f t="shared" si="33"/>
        <v>1754.1</v>
      </c>
      <c r="AN6">
        <f t="shared" si="34"/>
        <v>1717.4</v>
      </c>
      <c r="AO6">
        <f t="shared" si="35"/>
        <v>1680.7</v>
      </c>
      <c r="AP6">
        <v>1644</v>
      </c>
      <c r="AQ6">
        <f t="shared" si="36"/>
        <v>1608.1013863271255</v>
      </c>
      <c r="AR6">
        <f t="shared" si="37"/>
        <v>1572.9866597975808</v>
      </c>
      <c r="AS6">
        <f t="shared" si="38"/>
        <v>1538.6387033421922</v>
      </c>
      <c r="AT6">
        <f t="shared" si="39"/>
        <v>1505.0407736625</v>
      </c>
      <c r="AU6">
        <f t="shared" si="40"/>
        <v>1472.1764930690483</v>
      </c>
      <c r="AV6">
        <f t="shared" si="41"/>
        <v>1440.0298414978968</v>
      </c>
      <c r="AW6">
        <f t="shared" si="42"/>
        <v>1408.5851487014588</v>
      </c>
      <c r="AX6">
        <f t="shared" si="43"/>
        <v>1377.8270866098637</v>
      </c>
      <c r="AY6">
        <f t="shared" si="44"/>
        <v>1347.7406618591156</v>
      </c>
    </row>
    <row r="7" spans="1:56" x14ac:dyDescent="0.35">
      <c r="A7" t="s">
        <v>112</v>
      </c>
      <c r="B7">
        <v>5962</v>
      </c>
      <c r="C7">
        <f t="shared" si="0"/>
        <v>6149.9</v>
      </c>
      <c r="D7">
        <f t="shared" si="1"/>
        <v>6337.8</v>
      </c>
      <c r="E7">
        <f t="shared" si="2"/>
        <v>6525.7</v>
      </c>
      <c r="F7">
        <f t="shared" si="3"/>
        <v>6713.6</v>
      </c>
      <c r="G7">
        <f t="shared" si="4"/>
        <v>6901.5</v>
      </c>
      <c r="H7">
        <f t="shared" si="5"/>
        <v>7089.4</v>
      </c>
      <c r="I7">
        <f t="shared" si="6"/>
        <v>7277.3</v>
      </c>
      <c r="J7">
        <f t="shared" si="7"/>
        <v>7465.2</v>
      </c>
      <c r="K7">
        <f t="shared" si="8"/>
        <v>7653.1</v>
      </c>
      <c r="L7">
        <v>7841</v>
      </c>
      <c r="M7">
        <f t="shared" si="9"/>
        <v>8071.4</v>
      </c>
      <c r="N7">
        <f t="shared" si="10"/>
        <v>8301.7999999999993</v>
      </c>
      <c r="O7">
        <f t="shared" si="11"/>
        <v>8532.2000000000007</v>
      </c>
      <c r="P7">
        <f t="shared" si="12"/>
        <v>8762.6</v>
      </c>
      <c r="Q7">
        <f t="shared" si="13"/>
        <v>8993</v>
      </c>
      <c r="R7">
        <f t="shared" si="14"/>
        <v>9223.4</v>
      </c>
      <c r="S7">
        <f t="shared" si="15"/>
        <v>9453.7999999999993</v>
      </c>
      <c r="T7">
        <f t="shared" si="16"/>
        <v>9684.2000000000007</v>
      </c>
      <c r="U7">
        <f t="shared" si="17"/>
        <v>9914.6</v>
      </c>
      <c r="V7">
        <v>10145</v>
      </c>
      <c r="W7">
        <f t="shared" si="18"/>
        <v>10272.299999999999</v>
      </c>
      <c r="X7">
        <f t="shared" si="19"/>
        <v>10399.6</v>
      </c>
      <c r="Y7">
        <f t="shared" si="20"/>
        <v>10526.9</v>
      </c>
      <c r="Z7">
        <f t="shared" si="21"/>
        <v>10654.2</v>
      </c>
      <c r="AA7">
        <f t="shared" si="22"/>
        <v>10781.5</v>
      </c>
      <c r="AB7">
        <f t="shared" si="23"/>
        <v>10908.8</v>
      </c>
      <c r="AC7">
        <f t="shared" si="24"/>
        <v>11036.1</v>
      </c>
      <c r="AD7">
        <f t="shared" si="25"/>
        <v>11163.4</v>
      </c>
      <c r="AE7">
        <f t="shared" si="26"/>
        <v>11290.7</v>
      </c>
      <c r="AF7">
        <v>11418</v>
      </c>
      <c r="AG7">
        <f t="shared" si="27"/>
        <v>11530.9</v>
      </c>
      <c r="AH7">
        <f t="shared" si="28"/>
        <v>11643.8</v>
      </c>
      <c r="AI7">
        <f t="shared" si="29"/>
        <v>11756.7</v>
      </c>
      <c r="AJ7">
        <f t="shared" si="30"/>
        <v>11869.6</v>
      </c>
      <c r="AK7">
        <f t="shared" si="31"/>
        <v>11982.5</v>
      </c>
      <c r="AL7">
        <f t="shared" si="32"/>
        <v>12095.4</v>
      </c>
      <c r="AM7">
        <f t="shared" si="33"/>
        <v>12208.3</v>
      </c>
      <c r="AN7">
        <f t="shared" si="34"/>
        <v>12321.2</v>
      </c>
      <c r="AO7">
        <f t="shared" si="35"/>
        <v>12434.1</v>
      </c>
      <c r="AP7">
        <v>12547</v>
      </c>
      <c r="AQ7">
        <f t="shared" si="36"/>
        <v>12660.925117217972</v>
      </c>
      <c r="AR7">
        <f t="shared" si="37"/>
        <v>12775.884659584037</v>
      </c>
      <c r="AS7">
        <f t="shared" si="38"/>
        <v>12891.888019543103</v>
      </c>
      <c r="AT7">
        <f t="shared" si="39"/>
        <v>13008.944674822247</v>
      </c>
      <c r="AU7">
        <f t="shared" si="40"/>
        <v>13127.064189205066</v>
      </c>
      <c r="AV7">
        <f t="shared" si="41"/>
        <v>13246.256213313063</v>
      </c>
      <c r="AW7">
        <f t="shared" si="42"/>
        <v>13366.530485394118</v>
      </c>
      <c r="AX7">
        <f t="shared" si="43"/>
        <v>13487.896832118126</v>
      </c>
      <c r="AY7">
        <f t="shared" si="44"/>
        <v>13610.36516937986</v>
      </c>
    </row>
    <row r="8" spans="1:56" x14ac:dyDescent="0.35">
      <c r="A8" t="s">
        <v>321</v>
      </c>
      <c r="B8">
        <v>3536</v>
      </c>
      <c r="C8">
        <f t="shared" si="0"/>
        <v>3580.9</v>
      </c>
      <c r="D8">
        <f t="shared" si="1"/>
        <v>3625.8</v>
      </c>
      <c r="E8">
        <f t="shared" si="2"/>
        <v>3670.7</v>
      </c>
      <c r="F8">
        <f t="shared" si="3"/>
        <v>3715.6</v>
      </c>
      <c r="G8">
        <f t="shared" si="4"/>
        <v>3760.5</v>
      </c>
      <c r="H8">
        <f t="shared" si="5"/>
        <v>3805.4</v>
      </c>
      <c r="I8">
        <f t="shared" si="6"/>
        <v>3850.3</v>
      </c>
      <c r="J8">
        <f t="shared" si="7"/>
        <v>3895.2</v>
      </c>
      <c r="K8">
        <f t="shared" si="8"/>
        <v>3940.1</v>
      </c>
      <c r="L8">
        <v>3985</v>
      </c>
      <c r="M8">
        <f t="shared" si="9"/>
        <v>3976.7</v>
      </c>
      <c r="N8">
        <f t="shared" si="10"/>
        <v>3968.4</v>
      </c>
      <c r="O8">
        <f t="shared" si="11"/>
        <v>3960.1</v>
      </c>
      <c r="P8">
        <f t="shared" si="12"/>
        <v>3951.8</v>
      </c>
      <c r="Q8">
        <f t="shared" si="13"/>
        <v>3943.5</v>
      </c>
      <c r="R8">
        <f t="shared" si="14"/>
        <v>3935.2</v>
      </c>
      <c r="S8">
        <f t="shared" si="15"/>
        <v>3926.9</v>
      </c>
      <c r="T8">
        <f t="shared" si="16"/>
        <v>3918.6</v>
      </c>
      <c r="U8">
        <f t="shared" si="17"/>
        <v>3910.3</v>
      </c>
      <c r="V8">
        <v>3902</v>
      </c>
      <c r="W8">
        <f t="shared" si="18"/>
        <v>3908.6</v>
      </c>
      <c r="X8">
        <f t="shared" si="19"/>
        <v>3915.2</v>
      </c>
      <c r="Y8">
        <f t="shared" si="20"/>
        <v>3921.8</v>
      </c>
      <c r="Z8">
        <f t="shared" si="21"/>
        <v>3928.4</v>
      </c>
      <c r="AA8">
        <f t="shared" si="22"/>
        <v>3935</v>
      </c>
      <c r="AB8">
        <f t="shared" si="23"/>
        <v>3941.6</v>
      </c>
      <c r="AC8">
        <f t="shared" si="24"/>
        <v>3948.2</v>
      </c>
      <c r="AD8">
        <f t="shared" si="25"/>
        <v>3954.8</v>
      </c>
      <c r="AE8">
        <f t="shared" si="26"/>
        <v>3961.4</v>
      </c>
      <c r="AF8">
        <v>3968</v>
      </c>
      <c r="AG8">
        <f t="shared" si="27"/>
        <v>3958.9</v>
      </c>
      <c r="AH8">
        <f t="shared" si="28"/>
        <v>3949.8</v>
      </c>
      <c r="AI8">
        <f t="shared" si="29"/>
        <v>3940.7</v>
      </c>
      <c r="AJ8">
        <f t="shared" si="30"/>
        <v>3931.6</v>
      </c>
      <c r="AK8">
        <f t="shared" si="31"/>
        <v>3922.5</v>
      </c>
      <c r="AL8">
        <f t="shared" si="32"/>
        <v>3913.4</v>
      </c>
      <c r="AM8">
        <f t="shared" si="33"/>
        <v>3904.3</v>
      </c>
      <c r="AN8">
        <f t="shared" si="34"/>
        <v>3895.2</v>
      </c>
      <c r="AO8">
        <f t="shared" si="35"/>
        <v>3886.1</v>
      </c>
      <c r="AP8">
        <v>3877</v>
      </c>
      <c r="AQ8">
        <f t="shared" si="36"/>
        <v>3867.921309281799</v>
      </c>
      <c r="AR8">
        <f t="shared" si="37"/>
        <v>3858.8638779458929</v>
      </c>
      <c r="AS8">
        <f t="shared" si="38"/>
        <v>3849.8276562096257</v>
      </c>
      <c r="AT8">
        <f t="shared" si="39"/>
        <v>3840.8125944069166</v>
      </c>
      <c r="AU8">
        <f t="shared" si="40"/>
        <v>3831.8186429879865</v>
      </c>
      <c r="AV8">
        <f t="shared" si="41"/>
        <v>3822.845752519087</v>
      </c>
      <c r="AW8">
        <f t="shared" si="42"/>
        <v>3813.8938736822265</v>
      </c>
      <c r="AX8">
        <f t="shared" si="43"/>
        <v>3804.9629572749009</v>
      </c>
      <c r="AY8">
        <f t="shared" si="44"/>
        <v>3796.0529542098225</v>
      </c>
    </row>
    <row r="9" spans="1:56" x14ac:dyDescent="0.35">
      <c r="A9" t="s">
        <v>161</v>
      </c>
      <c r="B9">
        <v>247248</v>
      </c>
      <c r="C9">
        <f t="shared" si="0"/>
        <v>252052.8</v>
      </c>
      <c r="D9">
        <f t="shared" si="1"/>
        <v>256857.60000000001</v>
      </c>
      <c r="E9">
        <f t="shared" si="2"/>
        <v>261662.4</v>
      </c>
      <c r="F9">
        <f t="shared" si="3"/>
        <v>266467.20000000001</v>
      </c>
      <c r="G9">
        <f t="shared" si="4"/>
        <v>271272</v>
      </c>
      <c r="H9">
        <f t="shared" si="5"/>
        <v>276076.79999999999</v>
      </c>
      <c r="I9">
        <f t="shared" si="6"/>
        <v>280881.59999999998</v>
      </c>
      <c r="J9">
        <f t="shared" si="7"/>
        <v>285686.40000000002</v>
      </c>
      <c r="K9">
        <f t="shared" si="8"/>
        <v>290491.2</v>
      </c>
      <c r="L9">
        <v>295296</v>
      </c>
      <c r="M9">
        <f t="shared" si="9"/>
        <v>295703.7</v>
      </c>
      <c r="N9">
        <f t="shared" si="10"/>
        <v>296111.40000000002</v>
      </c>
      <c r="O9">
        <f t="shared" si="11"/>
        <v>296519.09999999998</v>
      </c>
      <c r="P9">
        <f t="shared" si="12"/>
        <v>296926.8</v>
      </c>
      <c r="Q9">
        <f t="shared" si="13"/>
        <v>297334.5</v>
      </c>
      <c r="R9">
        <f t="shared" si="14"/>
        <v>297742.2</v>
      </c>
      <c r="S9">
        <f t="shared" si="15"/>
        <v>298149.90000000002</v>
      </c>
      <c r="T9">
        <f t="shared" si="16"/>
        <v>298557.59999999998</v>
      </c>
      <c r="U9">
        <f t="shared" si="17"/>
        <v>298965.3</v>
      </c>
      <c r="V9">
        <v>299373</v>
      </c>
      <c r="W9">
        <f t="shared" si="18"/>
        <v>302580</v>
      </c>
      <c r="X9">
        <f t="shared" si="19"/>
        <v>305787</v>
      </c>
      <c r="Y9">
        <f t="shared" si="20"/>
        <v>308994</v>
      </c>
      <c r="Z9">
        <f t="shared" si="21"/>
        <v>312201</v>
      </c>
      <c r="AA9">
        <f t="shared" si="22"/>
        <v>315408</v>
      </c>
      <c r="AB9">
        <f t="shared" si="23"/>
        <v>318615</v>
      </c>
      <c r="AC9">
        <f t="shared" si="24"/>
        <v>321822</v>
      </c>
      <c r="AD9">
        <f t="shared" si="25"/>
        <v>325029</v>
      </c>
      <c r="AE9">
        <f t="shared" si="26"/>
        <v>328236</v>
      </c>
      <c r="AF9">
        <v>331443</v>
      </c>
      <c r="AG9">
        <f t="shared" si="27"/>
        <v>334375.5</v>
      </c>
      <c r="AH9">
        <f t="shared" si="28"/>
        <v>337308</v>
      </c>
      <c r="AI9">
        <f t="shared" si="29"/>
        <v>340240.5</v>
      </c>
      <c r="AJ9">
        <f t="shared" si="30"/>
        <v>343173</v>
      </c>
      <c r="AK9">
        <f t="shared" si="31"/>
        <v>346105.5</v>
      </c>
      <c r="AL9">
        <f t="shared" si="32"/>
        <v>349038</v>
      </c>
      <c r="AM9">
        <f t="shared" si="33"/>
        <v>351970.5</v>
      </c>
      <c r="AN9">
        <f t="shared" si="34"/>
        <v>354903</v>
      </c>
      <c r="AO9">
        <f t="shared" si="35"/>
        <v>357835.5</v>
      </c>
      <c r="AP9">
        <v>360768</v>
      </c>
      <c r="AQ9">
        <f t="shared" si="36"/>
        <v>363724.53214954911</v>
      </c>
      <c r="AR9">
        <f t="shared" si="37"/>
        <v>366705.29339467024</v>
      </c>
      <c r="AS9">
        <f t="shared" si="38"/>
        <v>369710.4822953798</v>
      </c>
      <c r="AT9">
        <f t="shared" si="39"/>
        <v>372740.29903891473</v>
      </c>
      <c r="AU9">
        <f t="shared" si="40"/>
        <v>375794.9454530676</v>
      </c>
      <c r="AV9">
        <f t="shared" si="41"/>
        <v>378874.62501963129</v>
      </c>
      <c r="AW9">
        <f t="shared" si="42"/>
        <v>381979.54288795363</v>
      </c>
      <c r="AX9">
        <f t="shared" si="43"/>
        <v>385109.90588860313</v>
      </c>
      <c r="AY9">
        <f t="shared" si="44"/>
        <v>388265.92254714685</v>
      </c>
    </row>
    <row r="10" spans="1:56" x14ac:dyDescent="0.35">
      <c r="A10" t="s">
        <v>322</v>
      </c>
      <c r="B10">
        <v>5728</v>
      </c>
      <c r="C10">
        <f t="shared" si="0"/>
        <v>5719</v>
      </c>
      <c r="D10">
        <f t="shared" si="1"/>
        <v>5710</v>
      </c>
      <c r="E10">
        <f t="shared" si="2"/>
        <v>5701</v>
      </c>
      <c r="F10">
        <f t="shared" si="3"/>
        <v>5692</v>
      </c>
      <c r="G10">
        <f t="shared" si="4"/>
        <v>5683</v>
      </c>
      <c r="H10">
        <f t="shared" si="5"/>
        <v>5674</v>
      </c>
      <c r="I10">
        <f t="shared" si="6"/>
        <v>5665</v>
      </c>
      <c r="J10">
        <f t="shared" si="7"/>
        <v>5656</v>
      </c>
      <c r="K10">
        <f t="shared" si="8"/>
        <v>5647</v>
      </c>
      <c r="L10">
        <v>5638</v>
      </c>
      <c r="M10">
        <f t="shared" si="9"/>
        <v>5661.5</v>
      </c>
      <c r="N10">
        <f t="shared" si="10"/>
        <v>5685</v>
      </c>
      <c r="O10">
        <f t="shared" si="11"/>
        <v>5708.5</v>
      </c>
      <c r="P10">
        <f t="shared" si="12"/>
        <v>5732</v>
      </c>
      <c r="Q10">
        <f t="shared" si="13"/>
        <v>5755.5</v>
      </c>
      <c r="R10">
        <f t="shared" si="14"/>
        <v>5779</v>
      </c>
      <c r="S10">
        <f t="shared" si="15"/>
        <v>5802.5</v>
      </c>
      <c r="T10">
        <f t="shared" si="16"/>
        <v>5826</v>
      </c>
      <c r="U10">
        <f t="shared" si="17"/>
        <v>5849.5</v>
      </c>
      <c r="V10">
        <v>5873</v>
      </c>
      <c r="W10">
        <f t="shared" si="18"/>
        <v>5820.1</v>
      </c>
      <c r="X10">
        <f t="shared" si="19"/>
        <v>5767.2</v>
      </c>
      <c r="Y10">
        <f t="shared" si="20"/>
        <v>5714.3</v>
      </c>
      <c r="Z10">
        <f t="shared" si="21"/>
        <v>5661.4</v>
      </c>
      <c r="AA10">
        <f t="shared" si="22"/>
        <v>5608.5</v>
      </c>
      <c r="AB10">
        <f t="shared" si="23"/>
        <v>5555.6</v>
      </c>
      <c r="AC10">
        <f t="shared" si="24"/>
        <v>5502.7</v>
      </c>
      <c r="AD10">
        <f t="shared" si="25"/>
        <v>5449.8</v>
      </c>
      <c r="AE10">
        <f t="shared" si="26"/>
        <v>5396.9</v>
      </c>
      <c r="AF10">
        <v>5344</v>
      </c>
      <c r="AG10">
        <f t="shared" si="27"/>
        <v>5322</v>
      </c>
      <c r="AH10">
        <f t="shared" si="28"/>
        <v>5300</v>
      </c>
      <c r="AI10">
        <f t="shared" si="29"/>
        <v>5278</v>
      </c>
      <c r="AJ10">
        <f t="shared" si="30"/>
        <v>5256</v>
      </c>
      <c r="AK10">
        <f t="shared" si="31"/>
        <v>5234</v>
      </c>
      <c r="AL10">
        <f t="shared" si="32"/>
        <v>5212</v>
      </c>
      <c r="AM10">
        <f t="shared" si="33"/>
        <v>5190</v>
      </c>
      <c r="AN10">
        <f t="shared" si="34"/>
        <v>5168</v>
      </c>
      <c r="AO10">
        <f t="shared" si="35"/>
        <v>5146</v>
      </c>
      <c r="AP10">
        <v>5124</v>
      </c>
      <c r="AQ10">
        <f t="shared" si="36"/>
        <v>5102.0940536338903</v>
      </c>
      <c r="AR10">
        <f t="shared" si="37"/>
        <v>5080.281758806851</v>
      </c>
      <c r="AS10">
        <f t="shared" si="38"/>
        <v>5058.5627151430826</v>
      </c>
      <c r="AT10">
        <f t="shared" si="39"/>
        <v>5036.9365239784593</v>
      </c>
      <c r="AU10">
        <f t="shared" si="40"/>
        <v>5015.4027883532099</v>
      </c>
      <c r="AV10">
        <f t="shared" si="41"/>
        <v>4993.9611130046324</v>
      </c>
      <c r="AW10">
        <f t="shared" si="42"/>
        <v>4972.6111043598376</v>
      </c>
      <c r="AX10">
        <f t="shared" si="43"/>
        <v>4951.3523705285261</v>
      </c>
      <c r="AY10">
        <f t="shared" si="44"/>
        <v>4930.1845212957933</v>
      </c>
    </row>
    <row r="11" spans="1:56" x14ac:dyDescent="0.35">
      <c r="A11" t="s">
        <v>214</v>
      </c>
      <c r="B11">
        <v>3902</v>
      </c>
      <c r="C11">
        <f t="shared" si="0"/>
        <v>3967.7</v>
      </c>
      <c r="D11">
        <f t="shared" si="1"/>
        <v>4033.4</v>
      </c>
      <c r="E11">
        <f t="shared" si="2"/>
        <v>4099.1000000000004</v>
      </c>
      <c r="F11">
        <f t="shared" si="3"/>
        <v>4164.8</v>
      </c>
      <c r="G11">
        <f t="shared" si="4"/>
        <v>4230.5</v>
      </c>
      <c r="H11">
        <f t="shared" si="5"/>
        <v>4296.2</v>
      </c>
      <c r="I11">
        <f t="shared" si="6"/>
        <v>4361.8999999999996</v>
      </c>
      <c r="J11">
        <f t="shared" si="7"/>
        <v>4427.6000000000004</v>
      </c>
      <c r="K11">
        <f t="shared" si="8"/>
        <v>4493.3</v>
      </c>
      <c r="L11">
        <v>4559</v>
      </c>
      <c r="M11">
        <f t="shared" si="9"/>
        <v>4589</v>
      </c>
      <c r="N11">
        <f t="shared" si="10"/>
        <v>4619</v>
      </c>
      <c r="O11">
        <f t="shared" si="11"/>
        <v>4649</v>
      </c>
      <c r="P11">
        <f t="shared" si="12"/>
        <v>4679</v>
      </c>
      <c r="Q11">
        <f t="shared" si="13"/>
        <v>4709</v>
      </c>
      <c r="R11">
        <f t="shared" si="14"/>
        <v>4739</v>
      </c>
      <c r="S11">
        <f t="shared" si="15"/>
        <v>4769</v>
      </c>
      <c r="T11">
        <f t="shared" si="16"/>
        <v>4799</v>
      </c>
      <c r="U11">
        <f t="shared" si="17"/>
        <v>4829</v>
      </c>
      <c r="V11">
        <v>4859</v>
      </c>
      <c r="W11">
        <f t="shared" si="18"/>
        <v>4820.1000000000004</v>
      </c>
      <c r="X11">
        <f t="shared" si="19"/>
        <v>4781.2</v>
      </c>
      <c r="Y11">
        <f t="shared" si="20"/>
        <v>4742.3</v>
      </c>
      <c r="Z11">
        <f t="shared" si="21"/>
        <v>4703.3999999999996</v>
      </c>
      <c r="AA11">
        <f t="shared" si="22"/>
        <v>4664.5</v>
      </c>
      <c r="AB11">
        <f t="shared" si="23"/>
        <v>4625.6000000000004</v>
      </c>
      <c r="AC11">
        <f t="shared" si="24"/>
        <v>4586.7</v>
      </c>
      <c r="AD11">
        <f t="shared" si="25"/>
        <v>4547.8</v>
      </c>
      <c r="AE11">
        <f t="shared" si="26"/>
        <v>4508.8999999999996</v>
      </c>
      <c r="AF11">
        <v>4470</v>
      </c>
      <c r="AG11">
        <f t="shared" si="27"/>
        <v>4445.8</v>
      </c>
      <c r="AH11">
        <f t="shared" si="28"/>
        <v>4421.6000000000004</v>
      </c>
      <c r="AI11">
        <f t="shared" si="29"/>
        <v>4397.3999999999996</v>
      </c>
      <c r="AJ11">
        <f t="shared" si="30"/>
        <v>4373.2</v>
      </c>
      <c r="AK11">
        <f t="shared" si="31"/>
        <v>4349</v>
      </c>
      <c r="AL11">
        <f t="shared" si="32"/>
        <v>4324.8</v>
      </c>
      <c r="AM11">
        <f t="shared" si="33"/>
        <v>4300.6000000000004</v>
      </c>
      <c r="AN11">
        <f t="shared" si="34"/>
        <v>4276.3999999999996</v>
      </c>
      <c r="AO11">
        <f t="shared" si="35"/>
        <v>4252.2</v>
      </c>
      <c r="AP11">
        <v>4228</v>
      </c>
      <c r="AQ11">
        <f t="shared" si="36"/>
        <v>4203.937726353417</v>
      </c>
      <c r="AR11">
        <f t="shared" si="37"/>
        <v>4180.0123952359363</v>
      </c>
      <c r="AS11">
        <f t="shared" si="38"/>
        <v>4156.2232272841211</v>
      </c>
      <c r="AT11">
        <f t="shared" si="39"/>
        <v>4132.5694475700266</v>
      </c>
      <c r="AU11">
        <f t="shared" si="40"/>
        <v>4109.0502855759551</v>
      </c>
      <c r="AV11">
        <f t="shared" si="41"/>
        <v>4085.6649751693571</v>
      </c>
      <c r="AW11">
        <f t="shared" si="42"/>
        <v>4062.4127545778761</v>
      </c>
      <c r="AX11">
        <f t="shared" si="43"/>
        <v>4039.2928663645321</v>
      </c>
      <c r="AY11">
        <f t="shared" si="44"/>
        <v>4016.3045574030489</v>
      </c>
    </row>
    <row r="12" spans="1:56" x14ac:dyDescent="0.35">
      <c r="A12" t="s">
        <v>169</v>
      </c>
      <c r="B12">
        <v>108734</v>
      </c>
      <c r="C12">
        <f t="shared" si="0"/>
        <v>109182.8</v>
      </c>
      <c r="D12">
        <f t="shared" si="1"/>
        <v>109631.6</v>
      </c>
      <c r="E12">
        <f t="shared" si="2"/>
        <v>110080.4</v>
      </c>
      <c r="F12">
        <f t="shared" si="3"/>
        <v>110529.2</v>
      </c>
      <c r="G12">
        <f t="shared" si="4"/>
        <v>110978</v>
      </c>
      <c r="H12">
        <f t="shared" si="5"/>
        <v>111426.8</v>
      </c>
      <c r="I12">
        <f t="shared" si="6"/>
        <v>111875.6</v>
      </c>
      <c r="J12">
        <f t="shared" si="7"/>
        <v>112324.4</v>
      </c>
      <c r="K12">
        <f t="shared" si="8"/>
        <v>112773.2</v>
      </c>
      <c r="L12">
        <v>113222</v>
      </c>
      <c r="M12">
        <f t="shared" si="9"/>
        <v>112786.2</v>
      </c>
      <c r="N12">
        <f t="shared" si="10"/>
        <v>112350.39999999999</v>
      </c>
      <c r="O12">
        <f t="shared" si="11"/>
        <v>111914.6</v>
      </c>
      <c r="P12">
        <f t="shared" si="12"/>
        <v>111478.8</v>
      </c>
      <c r="Q12">
        <f t="shared" si="13"/>
        <v>111043</v>
      </c>
      <c r="R12">
        <f t="shared" si="14"/>
        <v>110607.2</v>
      </c>
      <c r="S12">
        <f t="shared" si="15"/>
        <v>110171.4</v>
      </c>
      <c r="T12">
        <f t="shared" si="16"/>
        <v>109735.6</v>
      </c>
      <c r="U12">
        <f t="shared" si="17"/>
        <v>109299.8</v>
      </c>
      <c r="V12">
        <v>108864</v>
      </c>
      <c r="W12">
        <f t="shared" si="18"/>
        <v>109205.5</v>
      </c>
      <c r="X12">
        <f t="shared" si="19"/>
        <v>109547</v>
      </c>
      <c r="Y12">
        <f t="shared" si="20"/>
        <v>109888.5</v>
      </c>
      <c r="Z12">
        <f t="shared" si="21"/>
        <v>110230</v>
      </c>
      <c r="AA12">
        <f t="shared" si="22"/>
        <v>110571.5</v>
      </c>
      <c r="AB12">
        <f t="shared" si="23"/>
        <v>110913</v>
      </c>
      <c r="AC12">
        <f t="shared" si="24"/>
        <v>111254.5</v>
      </c>
      <c r="AD12">
        <f t="shared" si="25"/>
        <v>111596</v>
      </c>
      <c r="AE12">
        <f t="shared" si="26"/>
        <v>111937.5</v>
      </c>
      <c r="AF12">
        <v>112279</v>
      </c>
      <c r="AG12">
        <f t="shared" si="27"/>
        <v>112150.8</v>
      </c>
      <c r="AH12">
        <f t="shared" si="28"/>
        <v>112022.6</v>
      </c>
      <c r="AI12">
        <f t="shared" si="29"/>
        <v>111894.39999999999</v>
      </c>
      <c r="AJ12">
        <f t="shared" si="30"/>
        <v>111766.2</v>
      </c>
      <c r="AK12">
        <f t="shared" si="31"/>
        <v>111638</v>
      </c>
      <c r="AL12">
        <f t="shared" si="32"/>
        <v>111509.8</v>
      </c>
      <c r="AM12">
        <f t="shared" si="33"/>
        <v>111381.6</v>
      </c>
      <c r="AN12">
        <f t="shared" si="34"/>
        <v>111253.4</v>
      </c>
      <c r="AO12">
        <f t="shared" si="35"/>
        <v>111125.2</v>
      </c>
      <c r="AP12">
        <v>110997</v>
      </c>
      <c r="AQ12">
        <f t="shared" si="36"/>
        <v>110868.94789840648</v>
      </c>
      <c r="AR12">
        <f t="shared" si="37"/>
        <v>110741.04352459589</v>
      </c>
      <c r="AS12">
        <f t="shared" si="38"/>
        <v>110613.28670814155</v>
      </c>
      <c r="AT12">
        <f t="shared" si="39"/>
        <v>110485.67727881332</v>
      </c>
      <c r="AU12">
        <f t="shared" si="40"/>
        <v>110358.21506657753</v>
      </c>
      <c r="AV12">
        <f t="shared" si="41"/>
        <v>110230.89990159661</v>
      </c>
      <c r="AW12">
        <f t="shared" si="42"/>
        <v>110103.73161422898</v>
      </c>
      <c r="AX12">
        <f t="shared" si="43"/>
        <v>109976.71003502871</v>
      </c>
      <c r="AY12">
        <f t="shared" si="44"/>
        <v>109849.83499474538</v>
      </c>
      <c r="BD12" s="4"/>
    </row>
    <row r="13" spans="1:56" x14ac:dyDescent="0.35">
      <c r="A13" t="s">
        <v>323</v>
      </c>
      <c r="B13">
        <v>2319</v>
      </c>
      <c r="C13">
        <f t="shared" si="0"/>
        <v>2320.5</v>
      </c>
      <c r="D13">
        <f t="shared" si="1"/>
        <v>2322</v>
      </c>
      <c r="E13">
        <f t="shared" si="2"/>
        <v>2323.5</v>
      </c>
      <c r="F13">
        <f t="shared" si="3"/>
        <v>2325</v>
      </c>
      <c r="G13">
        <f t="shared" si="4"/>
        <v>2326.5</v>
      </c>
      <c r="H13">
        <f t="shared" si="5"/>
        <v>2328</v>
      </c>
      <c r="I13">
        <f t="shared" si="6"/>
        <v>2329.5</v>
      </c>
      <c r="J13">
        <f t="shared" si="7"/>
        <v>2331</v>
      </c>
      <c r="K13">
        <f t="shared" si="8"/>
        <v>2332.5</v>
      </c>
      <c r="L13">
        <v>2334</v>
      </c>
      <c r="M13">
        <f t="shared" si="9"/>
        <v>2329.4</v>
      </c>
      <c r="N13">
        <f t="shared" si="10"/>
        <v>2324.8000000000002</v>
      </c>
      <c r="O13">
        <f t="shared" si="11"/>
        <v>2320.1999999999998</v>
      </c>
      <c r="P13">
        <f t="shared" si="12"/>
        <v>2315.6</v>
      </c>
      <c r="Q13">
        <f t="shared" si="13"/>
        <v>2311</v>
      </c>
      <c r="R13">
        <f t="shared" si="14"/>
        <v>2306.4</v>
      </c>
      <c r="S13">
        <f t="shared" si="15"/>
        <v>2301.8000000000002</v>
      </c>
      <c r="T13">
        <f t="shared" si="16"/>
        <v>2297.1999999999998</v>
      </c>
      <c r="U13">
        <f t="shared" si="17"/>
        <v>2292.6</v>
      </c>
      <c r="V13">
        <v>2288</v>
      </c>
      <c r="W13">
        <f t="shared" si="18"/>
        <v>2244.3000000000002</v>
      </c>
      <c r="X13">
        <f t="shared" si="19"/>
        <v>2200.6</v>
      </c>
      <c r="Y13">
        <f t="shared" si="20"/>
        <v>2156.9</v>
      </c>
      <c r="Z13">
        <f t="shared" si="21"/>
        <v>2113.1999999999998</v>
      </c>
      <c r="AA13">
        <f t="shared" si="22"/>
        <v>2069.5</v>
      </c>
      <c r="AB13">
        <f t="shared" si="23"/>
        <v>2025.8</v>
      </c>
      <c r="AC13">
        <f t="shared" si="24"/>
        <v>1982.1</v>
      </c>
      <c r="AD13">
        <f t="shared" si="25"/>
        <v>1938.4</v>
      </c>
      <c r="AE13">
        <f t="shared" si="26"/>
        <v>1894.7</v>
      </c>
      <c r="AF13">
        <v>1851</v>
      </c>
      <c r="AG13">
        <f t="shared" si="27"/>
        <v>1833.7</v>
      </c>
      <c r="AH13">
        <f t="shared" si="28"/>
        <v>1816.4</v>
      </c>
      <c r="AI13">
        <f t="shared" si="29"/>
        <v>1799.1</v>
      </c>
      <c r="AJ13">
        <f t="shared" si="30"/>
        <v>1781.8</v>
      </c>
      <c r="AK13">
        <f t="shared" si="31"/>
        <v>1764.5</v>
      </c>
      <c r="AL13">
        <f t="shared" si="32"/>
        <v>1747.2</v>
      </c>
      <c r="AM13">
        <f t="shared" si="33"/>
        <v>1729.9</v>
      </c>
      <c r="AN13">
        <f t="shared" si="34"/>
        <v>1712.6</v>
      </c>
      <c r="AO13">
        <f t="shared" si="35"/>
        <v>1695.3</v>
      </c>
      <c r="AP13">
        <v>1678</v>
      </c>
      <c r="AQ13">
        <f t="shared" si="36"/>
        <v>1660.8765410251874</v>
      </c>
      <c r="AR13">
        <f t="shared" si="37"/>
        <v>1643.9278215302688</v>
      </c>
      <c r="AS13">
        <f t="shared" si="38"/>
        <v>1627.1520583541505</v>
      </c>
      <c r="AT13">
        <f t="shared" si="39"/>
        <v>1610.5474865323336</v>
      </c>
      <c r="AU13">
        <f t="shared" si="40"/>
        <v>1594.1123591112228</v>
      </c>
      <c r="AV13">
        <f t="shared" si="41"/>
        <v>1577.8449469643322</v>
      </c>
      <c r="AW13">
        <f t="shared" si="42"/>
        <v>1561.7435386103639</v>
      </c>
      <c r="AX13">
        <f t="shared" si="43"/>
        <v>1545.8064400331452</v>
      </c>
      <c r="AY13">
        <f t="shared" si="44"/>
        <v>1530.0319745034026</v>
      </c>
    </row>
    <row r="14" spans="1:56" x14ac:dyDescent="0.35">
      <c r="A14" t="s">
        <v>324</v>
      </c>
      <c r="B14">
        <v>9542</v>
      </c>
      <c r="C14">
        <f t="shared" si="0"/>
        <v>9738.7999999999993</v>
      </c>
      <c r="D14">
        <f t="shared" si="1"/>
        <v>9935.6</v>
      </c>
      <c r="E14">
        <f t="shared" si="2"/>
        <v>10132.4</v>
      </c>
      <c r="F14">
        <f t="shared" si="3"/>
        <v>10329.200000000001</v>
      </c>
      <c r="G14">
        <f t="shared" si="4"/>
        <v>10526</v>
      </c>
      <c r="H14">
        <f t="shared" si="5"/>
        <v>10722.8</v>
      </c>
      <c r="I14">
        <f t="shared" si="6"/>
        <v>10919.6</v>
      </c>
      <c r="J14">
        <f t="shared" si="7"/>
        <v>11116.4</v>
      </c>
      <c r="K14">
        <f t="shared" si="8"/>
        <v>11313.2</v>
      </c>
      <c r="L14">
        <v>11510</v>
      </c>
      <c r="M14">
        <f t="shared" si="9"/>
        <v>11639.2</v>
      </c>
      <c r="N14">
        <f t="shared" si="10"/>
        <v>11768.4</v>
      </c>
      <c r="O14">
        <f t="shared" si="11"/>
        <v>11897.6</v>
      </c>
      <c r="P14">
        <f t="shared" si="12"/>
        <v>12026.8</v>
      </c>
      <c r="Q14">
        <f t="shared" si="13"/>
        <v>12156</v>
      </c>
      <c r="R14">
        <f t="shared" si="14"/>
        <v>12285.2</v>
      </c>
      <c r="S14">
        <f t="shared" si="15"/>
        <v>12414.4</v>
      </c>
      <c r="T14">
        <f t="shared" si="16"/>
        <v>12543.6</v>
      </c>
      <c r="U14">
        <f t="shared" si="17"/>
        <v>12672.8</v>
      </c>
      <c r="V14">
        <v>12802</v>
      </c>
      <c r="W14">
        <f t="shared" si="18"/>
        <v>12897.6</v>
      </c>
      <c r="X14">
        <f t="shared" si="19"/>
        <v>12993.2</v>
      </c>
      <c r="Y14">
        <f t="shared" si="20"/>
        <v>13088.8</v>
      </c>
      <c r="Z14">
        <f t="shared" si="21"/>
        <v>13184.4</v>
      </c>
      <c r="AA14">
        <f t="shared" si="22"/>
        <v>13280</v>
      </c>
      <c r="AB14">
        <f t="shared" si="23"/>
        <v>13375.6</v>
      </c>
      <c r="AC14">
        <f t="shared" si="24"/>
        <v>13471.2</v>
      </c>
      <c r="AD14">
        <f t="shared" si="25"/>
        <v>13566.8</v>
      </c>
      <c r="AE14">
        <f t="shared" si="26"/>
        <v>13662.4</v>
      </c>
      <c r="AF14">
        <v>13758</v>
      </c>
      <c r="AG14">
        <f t="shared" si="27"/>
        <v>13721.1</v>
      </c>
      <c r="AH14">
        <f t="shared" si="28"/>
        <v>13684.2</v>
      </c>
      <c r="AI14">
        <f t="shared" si="29"/>
        <v>13647.3</v>
      </c>
      <c r="AJ14">
        <f t="shared" si="30"/>
        <v>13610.4</v>
      </c>
      <c r="AK14">
        <f t="shared" si="31"/>
        <v>13573.5</v>
      </c>
      <c r="AL14">
        <f t="shared" si="32"/>
        <v>13536.6</v>
      </c>
      <c r="AM14">
        <f t="shared" si="33"/>
        <v>13499.7</v>
      </c>
      <c r="AN14">
        <f t="shared" si="34"/>
        <v>13462.8</v>
      </c>
      <c r="AO14">
        <f t="shared" si="35"/>
        <v>13425.9</v>
      </c>
      <c r="AP14">
        <v>13389</v>
      </c>
      <c r="AQ14">
        <f t="shared" si="36"/>
        <v>13352.201416664804</v>
      </c>
      <c r="AR14">
        <f t="shared" si="37"/>
        <v>13315.503971258913</v>
      </c>
      <c r="AS14">
        <f t="shared" si="38"/>
        <v>13278.907385812912</v>
      </c>
      <c r="AT14">
        <f t="shared" si="39"/>
        <v>13242.41138312136</v>
      </c>
      <c r="AU14">
        <f t="shared" si="40"/>
        <v>13206.015686740693</v>
      </c>
      <c r="AV14">
        <f t="shared" si="41"/>
        <v>13169.720020987132</v>
      </c>
      <c r="AW14">
        <f t="shared" si="42"/>
        <v>13133.524110934588</v>
      </c>
      <c r="AX14">
        <f t="shared" si="43"/>
        <v>13097.42768241259</v>
      </c>
      <c r="AY14">
        <f t="shared" si="44"/>
        <v>13061.430462004197</v>
      </c>
    </row>
    <row r="15" spans="1:56" x14ac:dyDescent="0.35">
      <c r="A15" t="s">
        <v>325</v>
      </c>
      <c r="B15">
        <v>2819</v>
      </c>
      <c r="C15">
        <f t="shared" si="0"/>
        <v>2816</v>
      </c>
      <c r="D15">
        <f t="shared" si="1"/>
        <v>2813</v>
      </c>
      <c r="E15">
        <f t="shared" si="2"/>
        <v>2810</v>
      </c>
      <c r="F15">
        <f t="shared" si="3"/>
        <v>2807</v>
      </c>
      <c r="G15">
        <f t="shared" si="4"/>
        <v>2804</v>
      </c>
      <c r="H15">
        <f t="shared" si="5"/>
        <v>2801</v>
      </c>
      <c r="I15">
        <f t="shared" si="6"/>
        <v>2798</v>
      </c>
      <c r="J15">
        <f t="shared" si="7"/>
        <v>2795</v>
      </c>
      <c r="K15">
        <f t="shared" si="8"/>
        <v>2792</v>
      </c>
      <c r="L15">
        <v>2789</v>
      </c>
      <c r="M15">
        <f t="shared" si="9"/>
        <v>2783</v>
      </c>
      <c r="N15">
        <f t="shared" si="10"/>
        <v>2777</v>
      </c>
      <c r="O15">
        <f t="shared" si="11"/>
        <v>2771</v>
      </c>
      <c r="P15">
        <f t="shared" si="12"/>
        <v>2765</v>
      </c>
      <c r="Q15">
        <f t="shared" si="13"/>
        <v>2759</v>
      </c>
      <c r="R15">
        <f t="shared" si="14"/>
        <v>2753</v>
      </c>
      <c r="S15">
        <f t="shared" si="15"/>
        <v>2747</v>
      </c>
      <c r="T15">
        <f t="shared" si="16"/>
        <v>2741</v>
      </c>
      <c r="U15">
        <f t="shared" si="17"/>
        <v>2735</v>
      </c>
      <c r="V15">
        <v>2729</v>
      </c>
      <c r="W15">
        <f t="shared" si="18"/>
        <v>2722.4</v>
      </c>
      <c r="X15">
        <f t="shared" si="19"/>
        <v>2715.8</v>
      </c>
      <c r="Y15">
        <f t="shared" si="20"/>
        <v>2709.2</v>
      </c>
      <c r="Z15">
        <f t="shared" si="21"/>
        <v>2702.6</v>
      </c>
      <c r="AA15">
        <f t="shared" si="22"/>
        <v>2696</v>
      </c>
      <c r="AB15">
        <f t="shared" si="23"/>
        <v>2689.4</v>
      </c>
      <c r="AC15">
        <f t="shared" si="24"/>
        <v>2682.8</v>
      </c>
      <c r="AD15">
        <f t="shared" si="25"/>
        <v>2676.2</v>
      </c>
      <c r="AE15">
        <f t="shared" si="26"/>
        <v>2669.6</v>
      </c>
      <c r="AF15">
        <v>2663</v>
      </c>
      <c r="AG15">
        <f t="shared" si="27"/>
        <v>2643.1</v>
      </c>
      <c r="AH15">
        <f t="shared" si="28"/>
        <v>2623.2</v>
      </c>
      <c r="AI15">
        <f t="shared" si="29"/>
        <v>2603.3000000000002</v>
      </c>
      <c r="AJ15">
        <f t="shared" si="30"/>
        <v>2583.4</v>
      </c>
      <c r="AK15">
        <f t="shared" si="31"/>
        <v>2563.5</v>
      </c>
      <c r="AL15">
        <f t="shared" si="32"/>
        <v>2543.6</v>
      </c>
      <c r="AM15">
        <f t="shared" si="33"/>
        <v>2523.6999999999998</v>
      </c>
      <c r="AN15">
        <f t="shared" si="34"/>
        <v>2503.8000000000002</v>
      </c>
      <c r="AO15">
        <f t="shared" si="35"/>
        <v>2483.9</v>
      </c>
      <c r="AP15">
        <v>2464</v>
      </c>
      <c r="AQ15">
        <f t="shared" si="36"/>
        <v>2444.2594307339264</v>
      </c>
      <c r="AR15">
        <f t="shared" si="37"/>
        <v>2424.6770149073614</v>
      </c>
      <c r="AS15">
        <f t="shared" si="38"/>
        <v>2405.2514854590518</v>
      </c>
      <c r="AT15">
        <f t="shared" si="39"/>
        <v>2385.9815854789258</v>
      </c>
      <c r="AU15">
        <f t="shared" si="40"/>
        <v>2366.8660681267656</v>
      </c>
      <c r="AV15">
        <f t="shared" si="41"/>
        <v>2347.903696551532</v>
      </c>
      <c r="AW15">
        <f t="shared" si="42"/>
        <v>2329.093243811335</v>
      </c>
      <c r="AX15">
        <f t="shared" si="43"/>
        <v>2310.4334927940458</v>
      </c>
      <c r="AY15">
        <f t="shared" si="44"/>
        <v>2291.9232361385443</v>
      </c>
    </row>
    <row r="16" spans="1:56" x14ac:dyDescent="0.35">
      <c r="A16" t="s">
        <v>82</v>
      </c>
      <c r="B16">
        <v>27804</v>
      </c>
      <c r="C16">
        <f t="shared" si="0"/>
        <v>28202.6</v>
      </c>
      <c r="D16">
        <f t="shared" si="1"/>
        <v>28601.200000000001</v>
      </c>
      <c r="E16">
        <f t="shared" si="2"/>
        <v>28999.8</v>
      </c>
      <c r="F16">
        <f t="shared" si="3"/>
        <v>29398.400000000001</v>
      </c>
      <c r="G16">
        <f t="shared" si="4"/>
        <v>29797</v>
      </c>
      <c r="H16">
        <f t="shared" si="5"/>
        <v>30195.599999999999</v>
      </c>
      <c r="I16">
        <f t="shared" si="6"/>
        <v>30594.2</v>
      </c>
      <c r="J16">
        <f t="shared" si="7"/>
        <v>30992.799999999999</v>
      </c>
      <c r="K16">
        <f t="shared" si="8"/>
        <v>31391.4</v>
      </c>
      <c r="L16">
        <v>31790</v>
      </c>
      <c r="M16">
        <f t="shared" si="9"/>
        <v>31834.799999999999</v>
      </c>
      <c r="N16">
        <f t="shared" si="10"/>
        <v>31879.599999999999</v>
      </c>
      <c r="O16">
        <f t="shared" si="11"/>
        <v>31924.400000000001</v>
      </c>
      <c r="P16">
        <f t="shared" si="12"/>
        <v>31969.200000000001</v>
      </c>
      <c r="Q16">
        <f t="shared" si="13"/>
        <v>32014</v>
      </c>
      <c r="R16">
        <f t="shared" si="14"/>
        <v>32058.799999999999</v>
      </c>
      <c r="S16">
        <f t="shared" si="15"/>
        <v>32103.599999999999</v>
      </c>
      <c r="T16">
        <f t="shared" si="16"/>
        <v>32148.400000000001</v>
      </c>
      <c r="U16">
        <f t="shared" si="17"/>
        <v>32193.200000000001</v>
      </c>
      <c r="V16">
        <v>32238</v>
      </c>
      <c r="W16">
        <f t="shared" si="18"/>
        <v>32279.5</v>
      </c>
      <c r="X16">
        <f t="shared" si="19"/>
        <v>32321</v>
      </c>
      <c r="Y16">
        <f t="shared" si="20"/>
        <v>32362.5</v>
      </c>
      <c r="Z16">
        <f t="shared" si="21"/>
        <v>32404</v>
      </c>
      <c r="AA16">
        <f t="shared" si="22"/>
        <v>32445.5</v>
      </c>
      <c r="AB16">
        <f t="shared" si="23"/>
        <v>32487</v>
      </c>
      <c r="AC16">
        <f t="shared" si="24"/>
        <v>32528.5</v>
      </c>
      <c r="AD16">
        <f t="shared" si="25"/>
        <v>32570</v>
      </c>
      <c r="AE16">
        <f t="shared" si="26"/>
        <v>32611.5</v>
      </c>
      <c r="AF16">
        <v>32653</v>
      </c>
      <c r="AG16">
        <f t="shared" si="27"/>
        <v>32640.6</v>
      </c>
      <c r="AH16">
        <f t="shared" si="28"/>
        <v>32628.2</v>
      </c>
      <c r="AI16">
        <f t="shared" si="29"/>
        <v>32615.8</v>
      </c>
      <c r="AJ16">
        <f t="shared" si="30"/>
        <v>32603.4</v>
      </c>
      <c r="AK16">
        <f t="shared" si="31"/>
        <v>32591</v>
      </c>
      <c r="AL16">
        <f t="shared" si="32"/>
        <v>32578.6</v>
      </c>
      <c r="AM16">
        <f t="shared" si="33"/>
        <v>32566.2</v>
      </c>
      <c r="AN16">
        <f t="shared" si="34"/>
        <v>32553.8</v>
      </c>
      <c r="AO16">
        <f t="shared" si="35"/>
        <v>32541.4</v>
      </c>
      <c r="AP16">
        <v>32529</v>
      </c>
      <c r="AQ16">
        <f t="shared" si="36"/>
        <v>32516.604725057925</v>
      </c>
      <c r="AR16">
        <f t="shared" si="37"/>
        <v>32504.214173373279</v>
      </c>
      <c r="AS16">
        <f t="shared" si="38"/>
        <v>32491.828343146251</v>
      </c>
      <c r="AT16">
        <f t="shared" si="39"/>
        <v>32479.447232577713</v>
      </c>
      <c r="AU16">
        <f t="shared" si="40"/>
        <v>32467.070839869226</v>
      </c>
      <c r="AV16">
        <f t="shared" si="41"/>
        <v>32454.699163223035</v>
      </c>
      <c r="AW16">
        <f t="shared" si="42"/>
        <v>32442.332200842069</v>
      </c>
      <c r="AX16">
        <f t="shared" si="43"/>
        <v>32429.969950929943</v>
      </c>
      <c r="AY16">
        <f t="shared" si="44"/>
        <v>32417.612411690956</v>
      </c>
    </row>
    <row r="17" spans="1:51" x14ac:dyDescent="0.35">
      <c r="A17" t="s">
        <v>326</v>
      </c>
      <c r="B17">
        <v>10608</v>
      </c>
      <c r="C17">
        <f t="shared" si="0"/>
        <v>10748.7</v>
      </c>
      <c r="D17">
        <f t="shared" si="1"/>
        <v>10889.4</v>
      </c>
      <c r="E17">
        <f t="shared" si="2"/>
        <v>11030.1</v>
      </c>
      <c r="F17">
        <f t="shared" si="3"/>
        <v>11170.8</v>
      </c>
      <c r="G17">
        <f t="shared" si="4"/>
        <v>11311.5</v>
      </c>
      <c r="H17">
        <f t="shared" si="5"/>
        <v>11452.2</v>
      </c>
      <c r="I17">
        <f t="shared" si="6"/>
        <v>11592.9</v>
      </c>
      <c r="J17">
        <f t="shared" si="7"/>
        <v>11733.6</v>
      </c>
      <c r="K17">
        <f t="shared" si="8"/>
        <v>11874.3</v>
      </c>
      <c r="L17">
        <v>12015</v>
      </c>
      <c r="M17">
        <f t="shared" si="9"/>
        <v>11938.4</v>
      </c>
      <c r="N17">
        <f t="shared" si="10"/>
        <v>11861.8</v>
      </c>
      <c r="O17">
        <f t="shared" si="11"/>
        <v>11785.2</v>
      </c>
      <c r="P17">
        <f t="shared" si="12"/>
        <v>11708.6</v>
      </c>
      <c r="Q17">
        <f t="shared" si="13"/>
        <v>11632</v>
      </c>
      <c r="R17">
        <f t="shared" si="14"/>
        <v>11555.4</v>
      </c>
      <c r="S17">
        <f t="shared" si="15"/>
        <v>11478.8</v>
      </c>
      <c r="T17">
        <f t="shared" si="16"/>
        <v>11402.2</v>
      </c>
      <c r="U17">
        <f t="shared" si="17"/>
        <v>11325.6</v>
      </c>
      <c r="V17">
        <v>11249</v>
      </c>
      <c r="W17">
        <f t="shared" si="18"/>
        <v>11178.7</v>
      </c>
      <c r="X17">
        <f t="shared" si="19"/>
        <v>11108.4</v>
      </c>
      <c r="Y17">
        <f t="shared" si="20"/>
        <v>11038.1</v>
      </c>
      <c r="Z17">
        <f t="shared" si="21"/>
        <v>10967.8</v>
      </c>
      <c r="AA17">
        <f t="shared" si="22"/>
        <v>10897.5</v>
      </c>
      <c r="AB17">
        <f t="shared" si="23"/>
        <v>10827.2</v>
      </c>
      <c r="AC17">
        <f t="shared" si="24"/>
        <v>10756.9</v>
      </c>
      <c r="AD17">
        <f t="shared" si="25"/>
        <v>10686.6</v>
      </c>
      <c r="AE17">
        <f t="shared" si="26"/>
        <v>10616.3</v>
      </c>
      <c r="AF17">
        <v>10546</v>
      </c>
      <c r="AG17">
        <f t="shared" si="27"/>
        <v>10453.700000000001</v>
      </c>
      <c r="AH17">
        <f t="shared" si="28"/>
        <v>10361.4</v>
      </c>
      <c r="AI17">
        <f t="shared" si="29"/>
        <v>10269.1</v>
      </c>
      <c r="AJ17">
        <f t="shared" si="30"/>
        <v>10176.799999999999</v>
      </c>
      <c r="AK17">
        <f t="shared" si="31"/>
        <v>10084.5</v>
      </c>
      <c r="AL17">
        <f t="shared" si="32"/>
        <v>9992.2000000000007</v>
      </c>
      <c r="AM17">
        <f t="shared" si="33"/>
        <v>9899.9</v>
      </c>
      <c r="AN17">
        <f t="shared" si="34"/>
        <v>9807.6</v>
      </c>
      <c r="AO17">
        <f t="shared" si="35"/>
        <v>9715.2999999999993</v>
      </c>
      <c r="AP17">
        <v>9623</v>
      </c>
      <c r="AQ17">
        <f t="shared" si="36"/>
        <v>9531.5768941772258</v>
      </c>
      <c r="AR17">
        <f t="shared" si="37"/>
        <v>9441.0223516172882</v>
      </c>
      <c r="AS17">
        <f t="shared" si="38"/>
        <v>9351.3281205534731</v>
      </c>
      <c r="AT17">
        <f t="shared" si="39"/>
        <v>9262.4860276148011</v>
      </c>
      <c r="AU17">
        <f t="shared" si="40"/>
        <v>9174.4879770812258</v>
      </c>
      <c r="AV17">
        <f t="shared" si="41"/>
        <v>9087.3259501459179</v>
      </c>
      <c r="AW17">
        <f t="shared" si="42"/>
        <v>9000.9920041845508</v>
      </c>
      <c r="AX17">
        <f t="shared" si="43"/>
        <v>8915.4782720315307</v>
      </c>
      <c r="AY17">
        <f t="shared" si="44"/>
        <v>8830.7769612631018</v>
      </c>
    </row>
    <row r="18" spans="1:51" x14ac:dyDescent="0.35">
      <c r="A18" t="s">
        <v>166</v>
      </c>
      <c r="B18">
        <v>12782</v>
      </c>
      <c r="C18">
        <f t="shared" si="0"/>
        <v>12727.1</v>
      </c>
      <c r="D18">
        <f t="shared" si="1"/>
        <v>12672.2</v>
      </c>
      <c r="E18">
        <f t="shared" si="2"/>
        <v>12617.3</v>
      </c>
      <c r="F18">
        <f t="shared" si="3"/>
        <v>12562.4</v>
      </c>
      <c r="G18">
        <f t="shared" si="4"/>
        <v>12507.5</v>
      </c>
      <c r="H18">
        <f t="shared" si="5"/>
        <v>12452.6</v>
      </c>
      <c r="I18">
        <f t="shared" si="6"/>
        <v>12397.7</v>
      </c>
      <c r="J18">
        <f t="shared" si="7"/>
        <v>12342.8</v>
      </c>
      <c r="K18">
        <f t="shared" si="8"/>
        <v>12287.9</v>
      </c>
      <c r="L18">
        <v>12233</v>
      </c>
      <c r="M18">
        <f t="shared" si="9"/>
        <v>12135.8</v>
      </c>
      <c r="N18">
        <f t="shared" si="10"/>
        <v>12038.6</v>
      </c>
      <c r="O18">
        <f t="shared" si="11"/>
        <v>11941.4</v>
      </c>
      <c r="P18">
        <f t="shared" si="12"/>
        <v>11844.2</v>
      </c>
      <c r="Q18">
        <f t="shared" si="13"/>
        <v>11747</v>
      </c>
      <c r="R18">
        <f t="shared" si="14"/>
        <v>11649.8</v>
      </c>
      <c r="S18">
        <f t="shared" si="15"/>
        <v>11552.6</v>
      </c>
      <c r="T18">
        <f t="shared" si="16"/>
        <v>11455.4</v>
      </c>
      <c r="U18">
        <f t="shared" si="17"/>
        <v>11358.2</v>
      </c>
      <c r="V18">
        <v>11261</v>
      </c>
      <c r="W18">
        <f t="shared" si="18"/>
        <v>11200.1</v>
      </c>
      <c r="X18">
        <f t="shared" si="19"/>
        <v>11139.2</v>
      </c>
      <c r="Y18">
        <f t="shared" si="20"/>
        <v>11078.3</v>
      </c>
      <c r="Z18">
        <f t="shared" si="21"/>
        <v>11017.4</v>
      </c>
      <c r="AA18">
        <f t="shared" si="22"/>
        <v>10956.5</v>
      </c>
      <c r="AB18">
        <f t="shared" si="23"/>
        <v>10895.6</v>
      </c>
      <c r="AC18">
        <f t="shared" si="24"/>
        <v>10834.7</v>
      </c>
      <c r="AD18">
        <f t="shared" si="25"/>
        <v>10773.8</v>
      </c>
      <c r="AE18">
        <f t="shared" si="26"/>
        <v>10712.9</v>
      </c>
      <c r="AF18">
        <v>10652</v>
      </c>
      <c r="AG18">
        <f t="shared" si="27"/>
        <v>10586.3</v>
      </c>
      <c r="AH18">
        <f t="shared" si="28"/>
        <v>10520.6</v>
      </c>
      <c r="AI18">
        <f t="shared" si="29"/>
        <v>10454.9</v>
      </c>
      <c r="AJ18">
        <f t="shared" si="30"/>
        <v>10389.200000000001</v>
      </c>
      <c r="AK18">
        <f t="shared" si="31"/>
        <v>10323.5</v>
      </c>
      <c r="AL18">
        <f t="shared" si="32"/>
        <v>10257.799999999999</v>
      </c>
      <c r="AM18">
        <f t="shared" si="33"/>
        <v>10192.1</v>
      </c>
      <c r="AN18">
        <f t="shared" si="34"/>
        <v>10126.4</v>
      </c>
      <c r="AO18">
        <f t="shared" si="35"/>
        <v>10060.700000000001</v>
      </c>
      <c r="AP18">
        <v>9995</v>
      </c>
      <c r="AQ18">
        <f t="shared" si="36"/>
        <v>9929.729044698679</v>
      </c>
      <c r="AR18">
        <f t="shared" si="37"/>
        <v>9864.8843322793946</v>
      </c>
      <c r="AS18">
        <f t="shared" si="38"/>
        <v>9800.4630792223761</v>
      </c>
      <c r="AT18">
        <f t="shared" si="39"/>
        <v>9736.4625201852414</v>
      </c>
      <c r="AU18">
        <f t="shared" si="40"/>
        <v>9672.8799078842912</v>
      </c>
      <c r="AV18">
        <f t="shared" si="41"/>
        <v>9609.7125129765809</v>
      </c>
      <c r="AW18">
        <f t="shared" si="42"/>
        <v>9546.9576239427588</v>
      </c>
      <c r="AX18">
        <f t="shared" si="43"/>
        <v>9484.6125469706731</v>
      </c>
      <c r="AY18">
        <f t="shared" si="44"/>
        <v>9422.6746058397384</v>
      </c>
    </row>
    <row r="19" spans="1:51" x14ac:dyDescent="0.35">
      <c r="A19" t="s">
        <v>327</v>
      </c>
      <c r="B19">
        <v>87750</v>
      </c>
      <c r="C19">
        <f t="shared" si="0"/>
        <v>91705.7</v>
      </c>
      <c r="D19">
        <f t="shared" si="1"/>
        <v>95661.4</v>
      </c>
      <c r="E19">
        <f t="shared" si="2"/>
        <v>99617.1</v>
      </c>
      <c r="F19">
        <f t="shared" si="3"/>
        <v>103572.8</v>
      </c>
      <c r="G19">
        <f t="shared" si="4"/>
        <v>107528.5</v>
      </c>
      <c r="H19">
        <f t="shared" si="5"/>
        <v>111484.2</v>
      </c>
      <c r="I19">
        <f t="shared" si="6"/>
        <v>115439.9</v>
      </c>
      <c r="J19">
        <f t="shared" si="7"/>
        <v>119395.6</v>
      </c>
      <c r="K19">
        <f t="shared" si="8"/>
        <v>123351.3</v>
      </c>
      <c r="L19">
        <v>127307</v>
      </c>
      <c r="M19">
        <f t="shared" si="9"/>
        <v>128440.8</v>
      </c>
      <c r="N19">
        <f t="shared" si="10"/>
        <v>129574.6</v>
      </c>
      <c r="O19">
        <f t="shared" si="11"/>
        <v>130708.4</v>
      </c>
      <c r="P19">
        <f t="shared" si="12"/>
        <v>131842.20000000001</v>
      </c>
      <c r="Q19">
        <f t="shared" si="13"/>
        <v>132976</v>
      </c>
      <c r="R19">
        <f t="shared" si="14"/>
        <v>134109.79999999999</v>
      </c>
      <c r="S19">
        <f t="shared" si="15"/>
        <v>135243.6</v>
      </c>
      <c r="T19">
        <f t="shared" si="16"/>
        <v>136377.4</v>
      </c>
      <c r="U19">
        <f t="shared" si="17"/>
        <v>137511.20000000001</v>
      </c>
      <c r="V19">
        <v>138645</v>
      </c>
      <c r="W19">
        <f t="shared" si="18"/>
        <v>140703.9</v>
      </c>
      <c r="X19">
        <f t="shared" si="19"/>
        <v>142762.79999999999</v>
      </c>
      <c r="Y19">
        <f t="shared" si="20"/>
        <v>144821.70000000001</v>
      </c>
      <c r="Z19">
        <f t="shared" si="21"/>
        <v>146880.6</v>
      </c>
      <c r="AA19">
        <f t="shared" si="22"/>
        <v>148939.5</v>
      </c>
      <c r="AB19">
        <f t="shared" si="23"/>
        <v>150998.39999999999</v>
      </c>
      <c r="AC19">
        <f t="shared" si="24"/>
        <v>153057.29999999999</v>
      </c>
      <c r="AD19">
        <f t="shared" si="25"/>
        <v>155116.20000000001</v>
      </c>
      <c r="AE19">
        <f t="shared" si="26"/>
        <v>157175.1</v>
      </c>
      <c r="AF19">
        <v>159234</v>
      </c>
      <c r="AG19">
        <f t="shared" si="27"/>
        <v>161801.4</v>
      </c>
      <c r="AH19">
        <f t="shared" si="28"/>
        <v>164368.79999999999</v>
      </c>
      <c r="AI19">
        <f t="shared" si="29"/>
        <v>166936.20000000001</v>
      </c>
      <c r="AJ19">
        <f t="shared" si="30"/>
        <v>169503.6</v>
      </c>
      <c r="AK19">
        <f t="shared" si="31"/>
        <v>172071</v>
      </c>
      <c r="AL19">
        <f t="shared" si="32"/>
        <v>174638.4</v>
      </c>
      <c r="AM19">
        <f t="shared" si="33"/>
        <v>177205.8</v>
      </c>
      <c r="AN19">
        <f t="shared" si="34"/>
        <v>179773.2</v>
      </c>
      <c r="AO19">
        <f t="shared" si="35"/>
        <v>182340.6</v>
      </c>
      <c r="AP19">
        <v>184908</v>
      </c>
      <c r="AQ19">
        <f t="shared" si="36"/>
        <v>187511.54961648694</v>
      </c>
      <c r="AR19">
        <f t="shared" si="37"/>
        <v>190151.75784485388</v>
      </c>
      <c r="AS19">
        <f t="shared" si="38"/>
        <v>192829.14084727285</v>
      </c>
      <c r="AT19">
        <f t="shared" si="39"/>
        <v>195544.22205360478</v>
      </c>
      <c r="AU19">
        <f t="shared" si="40"/>
        <v>198297.53226373036</v>
      </c>
      <c r="AV19">
        <f t="shared" si="41"/>
        <v>201089.60975132172</v>
      </c>
      <c r="AW19">
        <f t="shared" si="42"/>
        <v>203921.00036907522</v>
      </c>
      <c r="AX19">
        <f t="shared" si="43"/>
        <v>206792.25765542593</v>
      </c>
      <c r="AY19">
        <f t="shared" si="44"/>
        <v>209703.94294276478</v>
      </c>
    </row>
    <row r="20" spans="1:51" x14ac:dyDescent="0.35">
      <c r="A20" t="s">
        <v>109</v>
      </c>
      <c r="B20">
        <v>38700</v>
      </c>
      <c r="C20">
        <f t="shared" si="0"/>
        <v>40078.800000000003</v>
      </c>
      <c r="D20">
        <f t="shared" si="1"/>
        <v>41457.599999999999</v>
      </c>
      <c r="E20">
        <f t="shared" si="2"/>
        <v>42836.4</v>
      </c>
      <c r="F20">
        <f t="shared" si="3"/>
        <v>44215.199999999997</v>
      </c>
      <c r="G20">
        <f t="shared" si="4"/>
        <v>45594</v>
      </c>
      <c r="H20">
        <f t="shared" si="5"/>
        <v>46972.800000000003</v>
      </c>
      <c r="I20">
        <f t="shared" si="6"/>
        <v>48351.6</v>
      </c>
      <c r="J20">
        <f t="shared" si="7"/>
        <v>49730.400000000001</v>
      </c>
      <c r="K20">
        <f t="shared" si="8"/>
        <v>51109.2</v>
      </c>
      <c r="L20">
        <v>52488</v>
      </c>
      <c r="M20">
        <f t="shared" si="9"/>
        <v>52911</v>
      </c>
      <c r="N20">
        <f t="shared" si="10"/>
        <v>53334</v>
      </c>
      <c r="O20">
        <f t="shared" si="11"/>
        <v>53757</v>
      </c>
      <c r="P20">
        <f t="shared" si="12"/>
        <v>54180</v>
      </c>
      <c r="Q20">
        <f t="shared" si="13"/>
        <v>54603</v>
      </c>
      <c r="R20">
        <f t="shared" si="14"/>
        <v>55026</v>
      </c>
      <c r="S20">
        <f t="shared" si="15"/>
        <v>55449</v>
      </c>
      <c r="T20">
        <f t="shared" si="16"/>
        <v>55872</v>
      </c>
      <c r="U20">
        <f t="shared" si="17"/>
        <v>56295</v>
      </c>
      <c r="V20">
        <v>56718</v>
      </c>
      <c r="W20">
        <f t="shared" si="18"/>
        <v>56913.7</v>
      </c>
      <c r="X20">
        <f t="shared" si="19"/>
        <v>57109.4</v>
      </c>
      <c r="Y20">
        <f t="shared" si="20"/>
        <v>57305.1</v>
      </c>
      <c r="Z20">
        <f t="shared" si="21"/>
        <v>57500.800000000003</v>
      </c>
      <c r="AA20">
        <f t="shared" si="22"/>
        <v>57696.5</v>
      </c>
      <c r="AB20">
        <f t="shared" si="23"/>
        <v>57892.2</v>
      </c>
      <c r="AC20">
        <f t="shared" si="24"/>
        <v>58087.9</v>
      </c>
      <c r="AD20">
        <f t="shared" si="25"/>
        <v>58283.6</v>
      </c>
      <c r="AE20">
        <f t="shared" si="26"/>
        <v>58479.3</v>
      </c>
      <c r="AF20">
        <v>58675</v>
      </c>
      <c r="AG20">
        <f t="shared" si="27"/>
        <v>59019.3</v>
      </c>
      <c r="AH20">
        <f t="shared" si="28"/>
        <v>59363.6</v>
      </c>
      <c r="AI20">
        <f t="shared" si="29"/>
        <v>59707.9</v>
      </c>
      <c r="AJ20">
        <f t="shared" si="30"/>
        <v>60052.2</v>
      </c>
      <c r="AK20">
        <f t="shared" si="31"/>
        <v>60396.5</v>
      </c>
      <c r="AL20">
        <f t="shared" si="32"/>
        <v>60740.800000000003</v>
      </c>
      <c r="AM20">
        <f t="shared" si="33"/>
        <v>61085.1</v>
      </c>
      <c r="AN20">
        <f t="shared" si="34"/>
        <v>61429.4</v>
      </c>
      <c r="AO20">
        <f t="shared" si="35"/>
        <v>61773.7</v>
      </c>
      <c r="AP20">
        <v>62118</v>
      </c>
      <c r="AQ20">
        <f t="shared" si="36"/>
        <v>62464.218979921883</v>
      </c>
      <c r="AR20">
        <f t="shared" si="37"/>
        <v>62812.367635333285</v>
      </c>
      <c r="AS20">
        <f t="shared" si="38"/>
        <v>63162.456721414346</v>
      </c>
      <c r="AT20">
        <f t="shared" si="39"/>
        <v>63514.497053289939</v>
      </c>
      <c r="AU20">
        <f t="shared" si="40"/>
        <v>63868.499506363791</v>
      </c>
      <c r="AV20">
        <f t="shared" si="41"/>
        <v>64224.47501665444</v>
      </c>
      <c r="AW20">
        <f t="shared" si="42"/>
        <v>64582.434581133086</v>
      </c>
      <c r="AX20">
        <f t="shared" si="43"/>
        <v>64942.389258063304</v>
      </c>
      <c r="AY20">
        <f t="shared" si="44"/>
        <v>65304.35016734268</v>
      </c>
    </row>
    <row r="21" spans="1:51" x14ac:dyDescent="0.35">
      <c r="A21" t="s">
        <v>328</v>
      </c>
      <c r="B21">
        <v>8142</v>
      </c>
      <c r="C21">
        <f t="shared" si="0"/>
        <v>8178.4</v>
      </c>
      <c r="D21">
        <f t="shared" si="1"/>
        <v>8214.7999999999993</v>
      </c>
      <c r="E21">
        <f t="shared" si="2"/>
        <v>8251.2000000000007</v>
      </c>
      <c r="F21">
        <f t="shared" si="3"/>
        <v>8287.6</v>
      </c>
      <c r="G21">
        <f t="shared" si="4"/>
        <v>8324</v>
      </c>
      <c r="H21">
        <f t="shared" si="5"/>
        <v>8360.4</v>
      </c>
      <c r="I21">
        <f t="shared" si="6"/>
        <v>8396.7999999999993</v>
      </c>
      <c r="J21">
        <f t="shared" si="7"/>
        <v>8433.2000000000007</v>
      </c>
      <c r="K21">
        <f t="shared" si="8"/>
        <v>8469.6</v>
      </c>
      <c r="L21">
        <v>8506</v>
      </c>
      <c r="M21">
        <f t="shared" si="9"/>
        <v>8792.9</v>
      </c>
      <c r="N21">
        <f t="shared" si="10"/>
        <v>9079.7999999999993</v>
      </c>
      <c r="O21">
        <f t="shared" si="11"/>
        <v>9366.7000000000007</v>
      </c>
      <c r="P21">
        <f t="shared" si="12"/>
        <v>9653.6</v>
      </c>
      <c r="Q21">
        <f t="shared" si="13"/>
        <v>9940.5</v>
      </c>
      <c r="R21">
        <f t="shared" si="14"/>
        <v>10227.4</v>
      </c>
      <c r="S21">
        <f t="shared" si="15"/>
        <v>10514.3</v>
      </c>
      <c r="T21">
        <f t="shared" si="16"/>
        <v>10801.2</v>
      </c>
      <c r="U21">
        <f t="shared" si="17"/>
        <v>11088.1</v>
      </c>
      <c r="V21">
        <v>11375</v>
      </c>
      <c r="W21">
        <f t="shared" si="18"/>
        <v>11335.9</v>
      </c>
      <c r="X21">
        <f t="shared" si="19"/>
        <v>11296.8</v>
      </c>
      <c r="Y21">
        <f t="shared" si="20"/>
        <v>11257.7</v>
      </c>
      <c r="Z21">
        <f t="shared" si="21"/>
        <v>11218.6</v>
      </c>
      <c r="AA21">
        <f t="shared" si="22"/>
        <v>11179.5</v>
      </c>
      <c r="AB21">
        <f t="shared" si="23"/>
        <v>11140.4</v>
      </c>
      <c r="AC21">
        <f t="shared" si="24"/>
        <v>11101.3</v>
      </c>
      <c r="AD21">
        <f t="shared" si="25"/>
        <v>11062.2</v>
      </c>
      <c r="AE21">
        <f t="shared" si="26"/>
        <v>11023.1</v>
      </c>
      <c r="AF21">
        <v>10984</v>
      </c>
      <c r="AG21">
        <f t="shared" si="27"/>
        <v>10883.4</v>
      </c>
      <c r="AH21">
        <f t="shared" si="28"/>
        <v>10782.8</v>
      </c>
      <c r="AI21">
        <f t="shared" si="29"/>
        <v>10682.2</v>
      </c>
      <c r="AJ21">
        <f t="shared" si="30"/>
        <v>10581.6</v>
      </c>
      <c r="AK21">
        <f t="shared" si="31"/>
        <v>10481</v>
      </c>
      <c r="AL21">
        <f t="shared" si="32"/>
        <v>10380.4</v>
      </c>
      <c r="AM21">
        <f t="shared" si="33"/>
        <v>10279.799999999999</v>
      </c>
      <c r="AN21">
        <f t="shared" si="34"/>
        <v>10179.200000000001</v>
      </c>
      <c r="AO21">
        <f t="shared" si="35"/>
        <v>10078.6</v>
      </c>
      <c r="AP21">
        <v>9978</v>
      </c>
      <c r="AQ21">
        <f t="shared" si="36"/>
        <v>9878.4041434326191</v>
      </c>
      <c r="AR21">
        <f t="shared" si="37"/>
        <v>9779.8024073949418</v>
      </c>
      <c r="AS21">
        <f t="shared" si="38"/>
        <v>9682.1848690281113</v>
      </c>
      <c r="AT21">
        <f t="shared" si="39"/>
        <v>9585.5417045187314</v>
      </c>
      <c r="AU21">
        <f t="shared" si="40"/>
        <v>9489.8631881102428</v>
      </c>
      <c r="AV21">
        <f t="shared" si="41"/>
        <v>9395.1396911241627</v>
      </c>
      <c r="AW21">
        <f t="shared" si="42"/>
        <v>9301.3616809910982</v>
      </c>
      <c r="AX21">
        <f t="shared" si="43"/>
        <v>9208.519720291426</v>
      </c>
      <c r="AY21">
        <f t="shared" si="44"/>
        <v>9116.6044658055525</v>
      </c>
    </row>
    <row r="22" spans="1:51" x14ac:dyDescent="0.35">
      <c r="A22" t="s">
        <v>329</v>
      </c>
      <c r="B22">
        <v>3258</v>
      </c>
      <c r="C22">
        <f t="shared" si="0"/>
        <v>3285.2</v>
      </c>
      <c r="D22">
        <f t="shared" si="1"/>
        <v>3312.4</v>
      </c>
      <c r="E22">
        <f t="shared" si="2"/>
        <v>3339.6</v>
      </c>
      <c r="F22">
        <f t="shared" si="3"/>
        <v>3366.8</v>
      </c>
      <c r="G22">
        <f t="shared" si="4"/>
        <v>3394</v>
      </c>
      <c r="H22">
        <f t="shared" si="5"/>
        <v>3421.2</v>
      </c>
      <c r="I22">
        <f t="shared" si="6"/>
        <v>3448.4</v>
      </c>
      <c r="J22">
        <f t="shared" si="7"/>
        <v>3475.6</v>
      </c>
      <c r="K22">
        <f t="shared" si="8"/>
        <v>3502.8</v>
      </c>
      <c r="L22">
        <v>3530</v>
      </c>
      <c r="M22">
        <f t="shared" si="9"/>
        <v>3519.7</v>
      </c>
      <c r="N22">
        <f t="shared" si="10"/>
        <v>3509.4</v>
      </c>
      <c r="O22">
        <f t="shared" si="11"/>
        <v>3499.1</v>
      </c>
      <c r="P22">
        <f t="shared" si="12"/>
        <v>3488.8</v>
      </c>
      <c r="Q22">
        <f t="shared" si="13"/>
        <v>3478.5</v>
      </c>
      <c r="R22">
        <f t="shared" si="14"/>
        <v>3468.2</v>
      </c>
      <c r="S22">
        <f t="shared" si="15"/>
        <v>3457.9</v>
      </c>
      <c r="T22">
        <f t="shared" si="16"/>
        <v>3447.6</v>
      </c>
      <c r="U22">
        <f t="shared" si="17"/>
        <v>3437.3</v>
      </c>
      <c r="V22">
        <v>3427</v>
      </c>
      <c r="W22">
        <f t="shared" si="18"/>
        <v>3416.4</v>
      </c>
      <c r="X22">
        <f t="shared" si="19"/>
        <v>3405.8</v>
      </c>
      <c r="Y22">
        <f t="shared" si="20"/>
        <v>3395.2</v>
      </c>
      <c r="Z22">
        <f t="shared" si="21"/>
        <v>3384.6</v>
      </c>
      <c r="AA22">
        <f t="shared" si="22"/>
        <v>3374</v>
      </c>
      <c r="AB22">
        <f t="shared" si="23"/>
        <v>3363.4</v>
      </c>
      <c r="AC22">
        <f t="shared" si="24"/>
        <v>3352.8</v>
      </c>
      <c r="AD22">
        <f t="shared" si="25"/>
        <v>3342.2</v>
      </c>
      <c r="AE22">
        <f t="shared" si="26"/>
        <v>3331.6</v>
      </c>
      <c r="AF22">
        <v>3321</v>
      </c>
      <c r="AG22">
        <f t="shared" si="27"/>
        <v>3295.9</v>
      </c>
      <c r="AH22">
        <f t="shared" si="28"/>
        <v>3270.8</v>
      </c>
      <c r="AI22">
        <f t="shared" si="29"/>
        <v>3245.7</v>
      </c>
      <c r="AJ22">
        <f t="shared" si="30"/>
        <v>3220.6</v>
      </c>
      <c r="AK22">
        <f t="shared" si="31"/>
        <v>3195.5</v>
      </c>
      <c r="AL22">
        <f t="shared" si="32"/>
        <v>3170.4</v>
      </c>
      <c r="AM22">
        <f t="shared" si="33"/>
        <v>3145.3</v>
      </c>
      <c r="AN22">
        <f t="shared" si="34"/>
        <v>3120.2</v>
      </c>
      <c r="AO22">
        <f t="shared" si="35"/>
        <v>3095.1</v>
      </c>
      <c r="AP22">
        <v>3070</v>
      </c>
      <c r="AQ22">
        <f t="shared" si="36"/>
        <v>3045.1035507738038</v>
      </c>
      <c r="AR22">
        <f t="shared" si="37"/>
        <v>3020.4090016075661</v>
      </c>
      <c r="AS22">
        <f t="shared" si="38"/>
        <v>2995.9147151740585</v>
      </c>
      <c r="AT22">
        <f t="shared" si="39"/>
        <v>2971.6190674241088</v>
      </c>
      <c r="AU22">
        <f t="shared" si="40"/>
        <v>2947.5204474789225</v>
      </c>
      <c r="AV22">
        <f t="shared" si="41"/>
        <v>2923.6172575232758</v>
      </c>
      <c r="AW22">
        <f t="shared" si="42"/>
        <v>2899.9079126995753</v>
      </c>
      <c r="AX22">
        <f t="shared" si="43"/>
        <v>2876.3908410027766</v>
      </c>
      <c r="AY22">
        <f t="shared" si="44"/>
        <v>2853.0644831761565</v>
      </c>
    </row>
    <row r="23" spans="1:51" x14ac:dyDescent="0.35">
      <c r="A23" t="s">
        <v>330</v>
      </c>
      <c r="B23">
        <v>5401</v>
      </c>
      <c r="C23">
        <f t="shared" si="0"/>
        <v>5416.8</v>
      </c>
      <c r="D23">
        <f t="shared" si="1"/>
        <v>5432.6</v>
      </c>
      <c r="E23">
        <f t="shared" si="2"/>
        <v>5448.4</v>
      </c>
      <c r="F23">
        <f t="shared" si="3"/>
        <v>5464.2</v>
      </c>
      <c r="G23">
        <f t="shared" si="4"/>
        <v>5480</v>
      </c>
      <c r="H23">
        <f t="shared" si="5"/>
        <v>5495.8</v>
      </c>
      <c r="I23">
        <f t="shared" si="6"/>
        <v>5511.6</v>
      </c>
      <c r="J23">
        <f t="shared" si="7"/>
        <v>5527.4</v>
      </c>
      <c r="K23">
        <f t="shared" si="8"/>
        <v>5543.2</v>
      </c>
      <c r="L23">
        <v>5559</v>
      </c>
      <c r="M23">
        <f t="shared" si="9"/>
        <v>5678.1</v>
      </c>
      <c r="N23">
        <f t="shared" si="10"/>
        <v>5797.2</v>
      </c>
      <c r="O23">
        <f t="shared" si="11"/>
        <v>5916.3</v>
      </c>
      <c r="P23">
        <f t="shared" si="12"/>
        <v>6035.4</v>
      </c>
      <c r="Q23">
        <f t="shared" si="13"/>
        <v>6154.5</v>
      </c>
      <c r="R23">
        <f t="shared" si="14"/>
        <v>6273.6</v>
      </c>
      <c r="S23">
        <f t="shared" si="15"/>
        <v>6392.7</v>
      </c>
      <c r="T23">
        <f t="shared" si="16"/>
        <v>6511.8</v>
      </c>
      <c r="U23">
        <f t="shared" si="17"/>
        <v>6630.9</v>
      </c>
      <c r="V23">
        <v>6750</v>
      </c>
      <c r="W23">
        <f t="shared" si="18"/>
        <v>6681.3</v>
      </c>
      <c r="X23">
        <f t="shared" si="19"/>
        <v>6612.6</v>
      </c>
      <c r="Y23">
        <f t="shared" si="20"/>
        <v>6543.9</v>
      </c>
      <c r="Z23">
        <f t="shared" si="21"/>
        <v>6475.2</v>
      </c>
      <c r="AA23">
        <f t="shared" si="22"/>
        <v>6406.5</v>
      </c>
      <c r="AB23">
        <f t="shared" si="23"/>
        <v>6337.8</v>
      </c>
      <c r="AC23">
        <f t="shared" si="24"/>
        <v>6269.1</v>
      </c>
      <c r="AD23">
        <f t="shared" si="25"/>
        <v>6200.4</v>
      </c>
      <c r="AE23">
        <f t="shared" si="26"/>
        <v>6131.7</v>
      </c>
      <c r="AF23">
        <v>6063</v>
      </c>
      <c r="AG23">
        <f t="shared" si="27"/>
        <v>6021.8</v>
      </c>
      <c r="AH23">
        <f t="shared" si="28"/>
        <v>5980.6</v>
      </c>
      <c r="AI23">
        <f t="shared" si="29"/>
        <v>5939.4</v>
      </c>
      <c r="AJ23">
        <f t="shared" si="30"/>
        <v>5898.2</v>
      </c>
      <c r="AK23">
        <f t="shared" si="31"/>
        <v>5857</v>
      </c>
      <c r="AL23">
        <f t="shared" si="32"/>
        <v>5815.8</v>
      </c>
      <c r="AM23">
        <f t="shared" si="33"/>
        <v>5774.6</v>
      </c>
      <c r="AN23">
        <f t="shared" si="34"/>
        <v>5733.4</v>
      </c>
      <c r="AO23">
        <f t="shared" si="35"/>
        <v>5692.2</v>
      </c>
      <c r="AP23">
        <v>5651</v>
      </c>
      <c r="AQ23">
        <f t="shared" si="36"/>
        <v>5610.098204560627</v>
      </c>
      <c r="AR23">
        <f t="shared" si="37"/>
        <v>5569.4924552847942</v>
      </c>
      <c r="AS23">
        <f t="shared" si="38"/>
        <v>5529.1806093978375</v>
      </c>
      <c r="AT23">
        <f t="shared" si="39"/>
        <v>5489.160539634443</v>
      </c>
      <c r="AU23">
        <f t="shared" si="40"/>
        <v>5449.4301341263899</v>
      </c>
      <c r="AV23">
        <f t="shared" si="41"/>
        <v>5409.9872962911049</v>
      </c>
      <c r="AW23">
        <f t="shared" si="42"/>
        <v>5370.8299447210275</v>
      </c>
      <c r="AX23">
        <f t="shared" si="43"/>
        <v>5331.9560130737718</v>
      </c>
      <c r="AY23">
        <f t="shared" si="44"/>
        <v>5293.3634499630871</v>
      </c>
    </row>
    <row r="24" spans="1:51" x14ac:dyDescent="0.35">
      <c r="A24" t="s">
        <v>331</v>
      </c>
      <c r="B24">
        <v>46016</v>
      </c>
      <c r="C24">
        <f t="shared" si="0"/>
        <v>46790.6</v>
      </c>
      <c r="D24">
        <f t="shared" si="1"/>
        <v>47565.2</v>
      </c>
      <c r="E24">
        <f t="shared" si="2"/>
        <v>48339.8</v>
      </c>
      <c r="F24">
        <f t="shared" si="3"/>
        <v>49114.400000000001</v>
      </c>
      <c r="G24">
        <f t="shared" si="4"/>
        <v>49889</v>
      </c>
      <c r="H24">
        <f t="shared" si="5"/>
        <v>50663.6</v>
      </c>
      <c r="I24">
        <f t="shared" si="6"/>
        <v>51438.2</v>
      </c>
      <c r="J24">
        <f t="shared" si="7"/>
        <v>52212.800000000003</v>
      </c>
      <c r="K24">
        <f t="shared" si="8"/>
        <v>52987.4</v>
      </c>
      <c r="L24">
        <v>53762</v>
      </c>
      <c r="M24">
        <f t="shared" si="9"/>
        <v>53666.5</v>
      </c>
      <c r="N24">
        <f t="shared" si="10"/>
        <v>53571</v>
      </c>
      <c r="O24">
        <f t="shared" si="11"/>
        <v>53475.5</v>
      </c>
      <c r="P24">
        <f t="shared" si="12"/>
        <v>53380</v>
      </c>
      <c r="Q24">
        <f t="shared" si="13"/>
        <v>53284.5</v>
      </c>
      <c r="R24">
        <f t="shared" si="14"/>
        <v>53189</v>
      </c>
      <c r="S24">
        <f t="shared" si="15"/>
        <v>53093.5</v>
      </c>
      <c r="T24">
        <f t="shared" si="16"/>
        <v>52998</v>
      </c>
      <c r="U24">
        <f t="shared" si="17"/>
        <v>52902.5</v>
      </c>
      <c r="V24">
        <v>52807</v>
      </c>
      <c r="W24">
        <f t="shared" si="18"/>
        <v>52456.9</v>
      </c>
      <c r="X24">
        <f t="shared" si="19"/>
        <v>52106.8</v>
      </c>
      <c r="Y24">
        <f t="shared" si="20"/>
        <v>51756.7</v>
      </c>
      <c r="Z24">
        <f t="shared" si="21"/>
        <v>51406.6</v>
      </c>
      <c r="AA24">
        <f t="shared" si="22"/>
        <v>51056.5</v>
      </c>
      <c r="AB24">
        <f t="shared" si="23"/>
        <v>50706.400000000001</v>
      </c>
      <c r="AC24">
        <f t="shared" si="24"/>
        <v>50356.3</v>
      </c>
      <c r="AD24">
        <f t="shared" si="25"/>
        <v>50006.2</v>
      </c>
      <c r="AE24">
        <f t="shared" si="26"/>
        <v>49656.1</v>
      </c>
      <c r="AF24">
        <v>49306</v>
      </c>
      <c r="AG24">
        <f t="shared" si="27"/>
        <v>49052.7</v>
      </c>
      <c r="AH24">
        <f t="shared" si="28"/>
        <v>48799.4</v>
      </c>
      <c r="AI24">
        <f t="shared" si="29"/>
        <v>48546.1</v>
      </c>
      <c r="AJ24">
        <f t="shared" si="30"/>
        <v>48292.800000000003</v>
      </c>
      <c r="AK24">
        <f t="shared" si="31"/>
        <v>48039.5</v>
      </c>
      <c r="AL24">
        <f t="shared" si="32"/>
        <v>47786.2</v>
      </c>
      <c r="AM24">
        <f t="shared" si="33"/>
        <v>47532.9</v>
      </c>
      <c r="AN24">
        <f t="shared" si="34"/>
        <v>47279.6</v>
      </c>
      <c r="AO24">
        <f t="shared" si="35"/>
        <v>47026.3</v>
      </c>
      <c r="AP24">
        <v>46773</v>
      </c>
      <c r="AQ24">
        <f t="shared" si="36"/>
        <v>46521.064361857083</v>
      </c>
      <c r="AR24">
        <f t="shared" si="37"/>
        <v>46270.485736643983</v>
      </c>
      <c r="AS24">
        <f t="shared" si="38"/>
        <v>46021.25681501731</v>
      </c>
      <c r="AT24">
        <f t="shared" si="39"/>
        <v>45773.370327004341</v>
      </c>
      <c r="AU24">
        <f t="shared" si="40"/>
        <v>45526.81904179095</v>
      </c>
      <c r="AV24">
        <f t="shared" si="41"/>
        <v>45281.595767510684</v>
      </c>
      <c r="AW24">
        <f t="shared" si="42"/>
        <v>45037.693351034992</v>
      </c>
      <c r="AX24">
        <f t="shared" si="43"/>
        <v>44795.104677764553</v>
      </c>
      <c r="AY24">
        <f t="shared" si="44"/>
        <v>44553.822671421753</v>
      </c>
    </row>
    <row r="25" spans="1:51" x14ac:dyDescent="0.35">
      <c r="A25" t="s">
        <v>332</v>
      </c>
      <c r="B25">
        <v>1208</v>
      </c>
      <c r="C25">
        <f t="shared" si="0"/>
        <v>1199.2</v>
      </c>
      <c r="D25">
        <f t="shared" si="1"/>
        <v>1190.4000000000001</v>
      </c>
      <c r="E25">
        <f t="shared" si="2"/>
        <v>1181.5999999999999</v>
      </c>
      <c r="F25">
        <f t="shared" si="3"/>
        <v>1172.8</v>
      </c>
      <c r="G25">
        <f t="shared" si="4"/>
        <v>1164</v>
      </c>
      <c r="H25">
        <f t="shared" si="5"/>
        <v>1155.2</v>
      </c>
      <c r="I25">
        <f t="shared" si="6"/>
        <v>1146.4000000000001</v>
      </c>
      <c r="J25">
        <f t="shared" si="7"/>
        <v>1137.5999999999999</v>
      </c>
      <c r="K25">
        <f t="shared" si="8"/>
        <v>1128.8</v>
      </c>
      <c r="L25">
        <v>1120</v>
      </c>
      <c r="M25">
        <f t="shared" si="9"/>
        <v>1105.2</v>
      </c>
      <c r="N25">
        <f t="shared" si="10"/>
        <v>1090.4000000000001</v>
      </c>
      <c r="O25">
        <f t="shared" si="11"/>
        <v>1075.5999999999999</v>
      </c>
      <c r="P25">
        <f t="shared" si="12"/>
        <v>1060.8</v>
      </c>
      <c r="Q25">
        <f t="shared" si="13"/>
        <v>1046</v>
      </c>
      <c r="R25">
        <f t="shared" si="14"/>
        <v>1031.2</v>
      </c>
      <c r="S25">
        <f t="shared" si="15"/>
        <v>1016.4</v>
      </c>
      <c r="T25">
        <f t="shared" si="16"/>
        <v>1001.6</v>
      </c>
      <c r="U25">
        <f t="shared" si="17"/>
        <v>986.8</v>
      </c>
      <c r="V25">
        <v>972</v>
      </c>
      <c r="W25">
        <f t="shared" si="18"/>
        <v>962</v>
      </c>
      <c r="X25">
        <f t="shared" si="19"/>
        <v>952</v>
      </c>
      <c r="Y25">
        <f t="shared" si="20"/>
        <v>942</v>
      </c>
      <c r="Z25">
        <f t="shared" si="21"/>
        <v>932</v>
      </c>
      <c r="AA25">
        <f t="shared" si="22"/>
        <v>922</v>
      </c>
      <c r="AB25">
        <f t="shared" si="23"/>
        <v>912</v>
      </c>
      <c r="AC25">
        <f t="shared" si="24"/>
        <v>902</v>
      </c>
      <c r="AD25">
        <f t="shared" si="25"/>
        <v>892</v>
      </c>
      <c r="AE25">
        <f t="shared" si="26"/>
        <v>882</v>
      </c>
      <c r="AF25">
        <v>872</v>
      </c>
      <c r="AG25">
        <f t="shared" si="27"/>
        <v>864.2</v>
      </c>
      <c r="AH25">
        <f t="shared" si="28"/>
        <v>856.4</v>
      </c>
      <c r="AI25">
        <f t="shared" si="29"/>
        <v>848.6</v>
      </c>
      <c r="AJ25">
        <f t="shared" si="30"/>
        <v>840.8</v>
      </c>
      <c r="AK25">
        <f t="shared" si="31"/>
        <v>833</v>
      </c>
      <c r="AL25">
        <f t="shared" si="32"/>
        <v>825.2</v>
      </c>
      <c r="AM25">
        <f t="shared" si="33"/>
        <v>817.4</v>
      </c>
      <c r="AN25">
        <f t="shared" si="34"/>
        <v>809.6</v>
      </c>
      <c r="AO25">
        <f t="shared" si="35"/>
        <v>801.8</v>
      </c>
      <c r="AP25">
        <v>794</v>
      </c>
      <c r="AQ25">
        <f t="shared" si="36"/>
        <v>786.27587927163881</v>
      </c>
      <c r="AR25">
        <f t="shared" si="37"/>
        <v>778.62689965288257</v>
      </c>
      <c r="AS25">
        <f t="shared" si="38"/>
        <v>771.05233016262014</v>
      </c>
      <c r="AT25">
        <f t="shared" si="39"/>
        <v>763.55144693080626</v>
      </c>
      <c r="AU25">
        <f t="shared" si="40"/>
        <v>756.1235331292844</v>
      </c>
      <c r="AV25">
        <f t="shared" si="41"/>
        <v>748.76787890328251</v>
      </c>
      <c r="AW25">
        <f t="shared" si="42"/>
        <v>741.48378130357492</v>
      </c>
      <c r="AX25">
        <f t="shared" si="43"/>
        <v>734.27054421930472</v>
      </c>
      <c r="AY25">
        <f t="shared" si="44"/>
        <v>727.12747831145919</v>
      </c>
    </row>
    <row r="26" spans="1:51" x14ac:dyDescent="0.35">
      <c r="A26" t="s">
        <v>333</v>
      </c>
      <c r="B26" s="5">
        <f t="shared" ref="B26:K26" si="45">C26/(1+((D26/C26)-1))</f>
        <v>8768.5103673558278</v>
      </c>
      <c r="C26" s="5">
        <f t="shared" si="45"/>
        <v>9250.4768425000111</v>
      </c>
      <c r="D26" s="5">
        <f t="shared" si="45"/>
        <v>9758.934896422239</v>
      </c>
      <c r="E26" s="5">
        <f t="shared" si="45"/>
        <v>10295.340654770967</v>
      </c>
      <c r="F26" s="5">
        <f t="shared" si="45"/>
        <v>10861.230280021518</v>
      </c>
      <c r="G26" s="5">
        <f t="shared" si="45"/>
        <v>11458.224370748674</v>
      </c>
      <c r="H26" s="5">
        <f t="shared" si="45"/>
        <v>12088.032602707945</v>
      </c>
      <c r="I26" s="5">
        <f t="shared" si="45"/>
        <v>12752.458625016676</v>
      </c>
      <c r="J26" s="5">
        <f t="shared" si="45"/>
        <v>13453.405225456716</v>
      </c>
      <c r="K26" s="5">
        <f t="shared" si="45"/>
        <v>14192.879779691062</v>
      </c>
      <c r="L26">
        <v>14973</v>
      </c>
      <c r="M26">
        <f t="shared" si="9"/>
        <v>15796</v>
      </c>
      <c r="N26">
        <f t="shared" si="10"/>
        <v>16619</v>
      </c>
      <c r="O26">
        <f t="shared" si="11"/>
        <v>17442</v>
      </c>
      <c r="P26">
        <f t="shared" si="12"/>
        <v>18265</v>
      </c>
      <c r="Q26">
        <f t="shared" si="13"/>
        <v>19088</v>
      </c>
      <c r="R26">
        <f t="shared" si="14"/>
        <v>19911</v>
      </c>
      <c r="S26">
        <f t="shared" si="15"/>
        <v>20734</v>
      </c>
      <c r="T26">
        <f t="shared" si="16"/>
        <v>21557</v>
      </c>
      <c r="U26">
        <f t="shared" si="17"/>
        <v>22380</v>
      </c>
      <c r="V26">
        <v>23203</v>
      </c>
      <c r="W26">
        <f t="shared" si="18"/>
        <v>23883.1</v>
      </c>
      <c r="X26">
        <f t="shared" si="19"/>
        <v>24563.200000000001</v>
      </c>
      <c r="Y26">
        <f t="shared" si="20"/>
        <v>25243.3</v>
      </c>
      <c r="Z26">
        <f t="shared" si="21"/>
        <v>25923.4</v>
      </c>
      <c r="AA26">
        <f t="shared" si="22"/>
        <v>26603.5</v>
      </c>
      <c r="AB26">
        <f t="shared" si="23"/>
        <v>27283.599999999999</v>
      </c>
      <c r="AC26">
        <f t="shared" si="24"/>
        <v>27963.7</v>
      </c>
      <c r="AD26">
        <f t="shared" si="25"/>
        <v>28643.8</v>
      </c>
      <c r="AE26">
        <f t="shared" si="26"/>
        <v>29323.9</v>
      </c>
      <c r="AF26">
        <v>30004</v>
      </c>
      <c r="AG26">
        <f t="shared" si="27"/>
        <v>30738.3</v>
      </c>
      <c r="AH26">
        <f t="shared" si="28"/>
        <v>31472.6</v>
      </c>
      <c r="AI26">
        <f t="shared" si="29"/>
        <v>32206.9</v>
      </c>
      <c r="AJ26">
        <f t="shared" si="30"/>
        <v>32941.199999999997</v>
      </c>
      <c r="AK26">
        <f t="shared" si="31"/>
        <v>33675.5</v>
      </c>
      <c r="AL26">
        <f t="shared" si="32"/>
        <v>34409.800000000003</v>
      </c>
      <c r="AM26">
        <f t="shared" si="33"/>
        <v>35144.1</v>
      </c>
      <c r="AN26">
        <f t="shared" si="34"/>
        <v>35878.400000000001</v>
      </c>
      <c r="AO26">
        <f t="shared" si="35"/>
        <v>36612.699999999997</v>
      </c>
      <c r="AP26">
        <v>37347</v>
      </c>
      <c r="AQ26">
        <f t="shared" si="36"/>
        <v>38096.027034335086</v>
      </c>
      <c r="AR26">
        <f t="shared" si="37"/>
        <v>38860.076466671744</v>
      </c>
      <c r="AS26">
        <f t="shared" si="38"/>
        <v>39639.449584455389</v>
      </c>
      <c r="AT26">
        <f t="shared" si="39"/>
        <v>40434.453717716955</v>
      </c>
      <c r="AU26">
        <f t="shared" si="40"/>
        <v>41245.402360262291</v>
      </c>
      <c r="AV26">
        <f t="shared" si="41"/>
        <v>42072.61529329211</v>
      </c>
      <c r="AW26">
        <f t="shared" si="42"/>
        <v>42916.418711501217</v>
      </c>
      <c r="AX26">
        <f t="shared" si="43"/>
        <v>43777.145351706815</v>
      </c>
      <c r="AY26">
        <f t="shared" si="44"/>
        <v>44655.134624056533</v>
      </c>
    </row>
    <row r="27" spans="1:51" x14ac:dyDescent="0.35">
      <c r="A27" t="s">
        <v>334</v>
      </c>
      <c r="B27">
        <v>14069</v>
      </c>
      <c r="C27">
        <f t="shared" ref="C27:C50" si="46">$L27-($L27-$B27)*(9/10)</f>
        <v>14483.2</v>
      </c>
      <c r="D27">
        <f t="shared" ref="D27:D50" si="47">$L27-($L27-$B27)*(8/10)</f>
        <v>14897.4</v>
      </c>
      <c r="E27">
        <f t="shared" ref="E27:E50" si="48">$L27-($L27-$B27)*(7/10)</f>
        <v>15311.6</v>
      </c>
      <c r="F27">
        <f t="shared" ref="F27:F50" si="49">$L27-($L27-$B27)*(6/10)</f>
        <v>15725.8</v>
      </c>
      <c r="G27">
        <f t="shared" ref="G27:G50" si="50">$L27-($L27-$B27)*(5/10)</f>
        <v>16140</v>
      </c>
      <c r="H27">
        <f t="shared" ref="H27:H50" si="51">$L27-($L27-$B27)*(4/10)</f>
        <v>16554.2</v>
      </c>
      <c r="I27">
        <f t="shared" ref="I27:I50" si="52">$L27-($L27-$B27)*(3/10)</f>
        <v>16968.400000000001</v>
      </c>
      <c r="J27">
        <f t="shared" ref="J27:J50" si="53">$L27-($L27-$B27)*(2/10)</f>
        <v>17382.599999999999</v>
      </c>
      <c r="K27">
        <f t="shared" ref="K27:K50" si="54">$L27-($L27-$B27)*(1/10)</f>
        <v>17796.8</v>
      </c>
      <c r="L27">
        <v>18211</v>
      </c>
      <c r="M27">
        <f t="shared" si="9"/>
        <v>18286.099999999999</v>
      </c>
      <c r="N27">
        <f t="shared" si="10"/>
        <v>18361.2</v>
      </c>
      <c r="O27">
        <f t="shared" si="11"/>
        <v>18436.3</v>
      </c>
      <c r="P27">
        <f t="shared" si="12"/>
        <v>18511.400000000001</v>
      </c>
      <c r="Q27">
        <f t="shared" si="13"/>
        <v>18586.5</v>
      </c>
      <c r="R27">
        <f t="shared" si="14"/>
        <v>18661.599999999999</v>
      </c>
      <c r="S27">
        <f t="shared" si="15"/>
        <v>18736.7</v>
      </c>
      <c r="T27">
        <f t="shared" si="16"/>
        <v>18811.8</v>
      </c>
      <c r="U27">
        <f t="shared" si="17"/>
        <v>18886.900000000001</v>
      </c>
      <c r="V27">
        <v>18962</v>
      </c>
      <c r="W27">
        <f t="shared" si="18"/>
        <v>19001.599999999999</v>
      </c>
      <c r="X27">
        <f t="shared" si="19"/>
        <v>19041.2</v>
      </c>
      <c r="Y27">
        <f t="shared" si="20"/>
        <v>19080.8</v>
      </c>
      <c r="Z27">
        <f t="shared" si="21"/>
        <v>19120.400000000001</v>
      </c>
      <c r="AA27">
        <f t="shared" si="22"/>
        <v>19160</v>
      </c>
      <c r="AB27">
        <f t="shared" si="23"/>
        <v>19199.599999999999</v>
      </c>
      <c r="AC27">
        <f t="shared" si="24"/>
        <v>19239.2</v>
      </c>
      <c r="AD27">
        <f t="shared" si="25"/>
        <v>19278.8</v>
      </c>
      <c r="AE27">
        <f t="shared" si="26"/>
        <v>19318.400000000001</v>
      </c>
      <c r="AF27">
        <v>19358</v>
      </c>
      <c r="AG27">
        <f t="shared" si="27"/>
        <v>19339.400000000001</v>
      </c>
      <c r="AH27">
        <f t="shared" si="28"/>
        <v>19320.8</v>
      </c>
      <c r="AI27">
        <f t="shared" si="29"/>
        <v>19302.2</v>
      </c>
      <c r="AJ27">
        <f t="shared" si="30"/>
        <v>19283.599999999999</v>
      </c>
      <c r="AK27">
        <f t="shared" si="31"/>
        <v>19265</v>
      </c>
      <c r="AL27">
        <f t="shared" si="32"/>
        <v>19246.400000000001</v>
      </c>
      <c r="AM27">
        <f t="shared" si="33"/>
        <v>19227.8</v>
      </c>
      <c r="AN27">
        <f t="shared" si="34"/>
        <v>19209.2</v>
      </c>
      <c r="AO27">
        <f t="shared" si="35"/>
        <v>19190.599999999999</v>
      </c>
      <c r="AP27">
        <v>19172</v>
      </c>
      <c r="AQ27">
        <f t="shared" si="36"/>
        <v>19153.418027576001</v>
      </c>
      <c r="AR27">
        <f t="shared" si="37"/>
        <v>19134.854065255236</v>
      </c>
      <c r="AS27">
        <f t="shared" si="38"/>
        <v>19116.30809558187</v>
      </c>
      <c r="AT27">
        <f t="shared" si="39"/>
        <v>19097.780101116987</v>
      </c>
      <c r="AU27">
        <f t="shared" si="40"/>
        <v>19079.270064438577</v>
      </c>
      <c r="AV27">
        <f t="shared" si="41"/>
        <v>19060.777968141512</v>
      </c>
      <c r="AW27">
        <f t="shared" si="42"/>
        <v>19042.303794837535</v>
      </c>
      <c r="AX27">
        <f t="shared" si="43"/>
        <v>19023.847527155242</v>
      </c>
      <c r="AY27">
        <f t="shared" si="44"/>
        <v>19005.409147740062</v>
      </c>
    </row>
    <row r="28" spans="1:51" x14ac:dyDescent="0.35">
      <c r="A28" t="s">
        <v>335</v>
      </c>
      <c r="B28">
        <v>4731</v>
      </c>
      <c r="C28">
        <f t="shared" si="46"/>
        <v>4748.8999999999996</v>
      </c>
      <c r="D28">
        <f t="shared" si="47"/>
        <v>4766.8</v>
      </c>
      <c r="E28">
        <f t="shared" si="48"/>
        <v>4784.7</v>
      </c>
      <c r="F28">
        <f t="shared" si="49"/>
        <v>4802.6000000000004</v>
      </c>
      <c r="G28">
        <f t="shared" si="50"/>
        <v>4820.5</v>
      </c>
      <c r="H28">
        <f t="shared" si="51"/>
        <v>4838.3999999999996</v>
      </c>
      <c r="I28">
        <f t="shared" si="52"/>
        <v>4856.3</v>
      </c>
      <c r="J28">
        <f t="shared" si="53"/>
        <v>4874.2</v>
      </c>
      <c r="K28">
        <f t="shared" si="54"/>
        <v>4892.1000000000004</v>
      </c>
      <c r="L28">
        <v>4910</v>
      </c>
      <c r="M28">
        <f t="shared" si="9"/>
        <v>4924.8999999999996</v>
      </c>
      <c r="N28">
        <f t="shared" si="10"/>
        <v>4939.8</v>
      </c>
      <c r="O28">
        <f t="shared" si="11"/>
        <v>4954.7</v>
      </c>
      <c r="P28">
        <f t="shared" si="12"/>
        <v>4969.6000000000004</v>
      </c>
      <c r="Q28">
        <f t="shared" si="13"/>
        <v>4984.5</v>
      </c>
      <c r="R28">
        <f t="shared" si="14"/>
        <v>4999.3999999999996</v>
      </c>
      <c r="S28">
        <f t="shared" si="15"/>
        <v>5014.3</v>
      </c>
      <c r="T28">
        <f t="shared" si="16"/>
        <v>5029.2</v>
      </c>
      <c r="U28">
        <f t="shared" si="17"/>
        <v>5044.1000000000004</v>
      </c>
      <c r="V28">
        <v>5059</v>
      </c>
      <c r="W28">
        <f t="shared" si="18"/>
        <v>5037.8</v>
      </c>
      <c r="X28">
        <f t="shared" si="19"/>
        <v>5016.6000000000004</v>
      </c>
      <c r="Y28">
        <f t="shared" si="20"/>
        <v>4995.3999999999996</v>
      </c>
      <c r="Z28">
        <f t="shared" si="21"/>
        <v>4974.2</v>
      </c>
      <c r="AA28">
        <f t="shared" si="22"/>
        <v>4953</v>
      </c>
      <c r="AB28">
        <f t="shared" si="23"/>
        <v>4931.8</v>
      </c>
      <c r="AC28">
        <f t="shared" si="24"/>
        <v>4910.6000000000004</v>
      </c>
      <c r="AD28">
        <f t="shared" si="25"/>
        <v>4889.3999999999996</v>
      </c>
      <c r="AE28">
        <f t="shared" si="26"/>
        <v>4868.2</v>
      </c>
      <c r="AF28">
        <v>4847</v>
      </c>
      <c r="AG28">
        <f t="shared" si="27"/>
        <v>4784.8999999999996</v>
      </c>
      <c r="AH28">
        <f t="shared" si="28"/>
        <v>4722.8</v>
      </c>
      <c r="AI28">
        <f t="shared" si="29"/>
        <v>4660.7</v>
      </c>
      <c r="AJ28">
        <f t="shared" si="30"/>
        <v>4598.6000000000004</v>
      </c>
      <c r="AK28">
        <f t="shared" si="31"/>
        <v>4536.5</v>
      </c>
      <c r="AL28">
        <f t="shared" si="32"/>
        <v>4474.3999999999996</v>
      </c>
      <c r="AM28">
        <f t="shared" si="33"/>
        <v>4412.3</v>
      </c>
      <c r="AN28">
        <f t="shared" si="34"/>
        <v>4350.2</v>
      </c>
      <c r="AO28">
        <f t="shared" si="35"/>
        <v>4288.1000000000004</v>
      </c>
      <c r="AP28">
        <v>4226</v>
      </c>
      <c r="AQ28">
        <f t="shared" si="36"/>
        <v>4164.7993283738715</v>
      </c>
      <c r="AR28">
        <f t="shared" si="37"/>
        <v>4104.4849611035143</v>
      </c>
      <c r="AS28">
        <f t="shared" si="38"/>
        <v>4045.0440627838552</v>
      </c>
      <c r="AT28">
        <f t="shared" si="39"/>
        <v>3986.4639838913668</v>
      </c>
      <c r="AU28">
        <f t="shared" si="40"/>
        <v>3928.7322580921418</v>
      </c>
      <c r="AV28">
        <f t="shared" si="41"/>
        <v>3871.836599588953</v>
      </c>
      <c r="AW28">
        <f t="shared" si="42"/>
        <v>3815.764900506731</v>
      </c>
      <c r="AX28">
        <f t="shared" si="43"/>
        <v>3760.5052283159075</v>
      </c>
      <c r="AY28">
        <f t="shared" si="44"/>
        <v>3706.0458232930723</v>
      </c>
    </row>
    <row r="29" spans="1:51" x14ac:dyDescent="0.35">
      <c r="A29" t="s">
        <v>200</v>
      </c>
      <c r="B29">
        <v>17596</v>
      </c>
      <c r="C29">
        <f t="shared" si="46"/>
        <v>17936.5</v>
      </c>
      <c r="D29">
        <f t="shared" si="47"/>
        <v>18277</v>
      </c>
      <c r="E29">
        <f t="shared" si="48"/>
        <v>18617.5</v>
      </c>
      <c r="F29">
        <f t="shared" si="49"/>
        <v>18958</v>
      </c>
      <c r="G29">
        <f t="shared" si="50"/>
        <v>19298.5</v>
      </c>
      <c r="H29">
        <f t="shared" si="51"/>
        <v>19639</v>
      </c>
      <c r="I29">
        <f t="shared" si="52"/>
        <v>19979.5</v>
      </c>
      <c r="J29">
        <f t="shared" si="53"/>
        <v>20320</v>
      </c>
      <c r="K29">
        <f t="shared" si="54"/>
        <v>20660.5</v>
      </c>
      <c r="L29">
        <v>21001</v>
      </c>
      <c r="M29">
        <f t="shared" si="9"/>
        <v>20836.2</v>
      </c>
      <c r="N29">
        <f t="shared" si="10"/>
        <v>20671.400000000001</v>
      </c>
      <c r="O29">
        <f t="shared" si="11"/>
        <v>20506.599999999999</v>
      </c>
      <c r="P29">
        <f t="shared" si="12"/>
        <v>20341.8</v>
      </c>
      <c r="Q29">
        <f t="shared" si="13"/>
        <v>20177</v>
      </c>
      <c r="R29">
        <f t="shared" si="14"/>
        <v>20012.2</v>
      </c>
      <c r="S29">
        <f t="shared" si="15"/>
        <v>19847.400000000001</v>
      </c>
      <c r="T29">
        <f t="shared" si="16"/>
        <v>19682.599999999999</v>
      </c>
      <c r="U29">
        <f t="shared" si="17"/>
        <v>19517.8</v>
      </c>
      <c r="V29">
        <v>19353</v>
      </c>
      <c r="W29">
        <f t="shared" si="18"/>
        <v>19386.3</v>
      </c>
      <c r="X29">
        <f t="shared" si="19"/>
        <v>19419.599999999999</v>
      </c>
      <c r="Y29">
        <f t="shared" si="20"/>
        <v>19452.900000000001</v>
      </c>
      <c r="Z29">
        <f t="shared" si="21"/>
        <v>19486.2</v>
      </c>
      <c r="AA29">
        <f t="shared" si="22"/>
        <v>19519.5</v>
      </c>
      <c r="AB29">
        <f t="shared" si="23"/>
        <v>19552.8</v>
      </c>
      <c r="AC29">
        <f t="shared" si="24"/>
        <v>19586.099999999999</v>
      </c>
      <c r="AD29">
        <f t="shared" si="25"/>
        <v>19619.400000000001</v>
      </c>
      <c r="AE29">
        <f t="shared" si="26"/>
        <v>19652.7</v>
      </c>
      <c r="AF29">
        <v>19686</v>
      </c>
      <c r="AG29">
        <f t="shared" si="27"/>
        <v>19667.099999999999</v>
      </c>
      <c r="AH29">
        <f t="shared" si="28"/>
        <v>19648.2</v>
      </c>
      <c r="AI29">
        <f t="shared" si="29"/>
        <v>19629.3</v>
      </c>
      <c r="AJ29">
        <f t="shared" si="30"/>
        <v>19610.400000000001</v>
      </c>
      <c r="AK29">
        <f t="shared" si="31"/>
        <v>19591.5</v>
      </c>
      <c r="AL29">
        <f t="shared" si="32"/>
        <v>19572.599999999999</v>
      </c>
      <c r="AM29">
        <f t="shared" si="33"/>
        <v>19553.7</v>
      </c>
      <c r="AN29">
        <f t="shared" si="34"/>
        <v>19534.8</v>
      </c>
      <c r="AO29">
        <f t="shared" si="35"/>
        <v>19515.900000000001</v>
      </c>
      <c r="AP29">
        <v>19497</v>
      </c>
      <c r="AQ29">
        <f t="shared" si="36"/>
        <v>19478.118303537114</v>
      </c>
      <c r="AR29">
        <f t="shared" si="37"/>
        <v>19459.254892885448</v>
      </c>
      <c r="AS29">
        <f t="shared" si="38"/>
        <v>19440.409750336268</v>
      </c>
      <c r="AT29">
        <f t="shared" si="39"/>
        <v>19421.582858197991</v>
      </c>
      <c r="AU29">
        <f t="shared" si="40"/>
        <v>19402.774198796171</v>
      </c>
      <c r="AV29">
        <f t="shared" si="41"/>
        <v>19383.983754473473</v>
      </c>
      <c r="AW29">
        <f t="shared" si="42"/>
        <v>19365.211507589669</v>
      </c>
      <c r="AX29">
        <f t="shared" si="43"/>
        <v>19346.457440521612</v>
      </c>
      <c r="AY29">
        <f t="shared" si="44"/>
        <v>19327.721535663219</v>
      </c>
    </row>
    <row r="30" spans="1:51" x14ac:dyDescent="0.35">
      <c r="A30" t="s">
        <v>336</v>
      </c>
      <c r="B30">
        <v>1861</v>
      </c>
      <c r="C30">
        <f t="shared" si="46"/>
        <v>1896.7</v>
      </c>
      <c r="D30">
        <f t="shared" si="47"/>
        <v>1932.4</v>
      </c>
      <c r="E30">
        <f t="shared" si="48"/>
        <v>1968.1</v>
      </c>
      <c r="F30">
        <f t="shared" si="49"/>
        <v>2003.8</v>
      </c>
      <c r="G30">
        <f t="shared" si="50"/>
        <v>2039.5</v>
      </c>
      <c r="H30">
        <f t="shared" si="51"/>
        <v>2075.1999999999998</v>
      </c>
      <c r="I30">
        <f t="shared" si="52"/>
        <v>2110.9</v>
      </c>
      <c r="J30">
        <f t="shared" si="53"/>
        <v>2146.6</v>
      </c>
      <c r="K30">
        <f t="shared" si="54"/>
        <v>2182.3000000000002</v>
      </c>
      <c r="L30">
        <v>2218</v>
      </c>
      <c r="M30">
        <f t="shared" si="9"/>
        <v>2211.6</v>
      </c>
      <c r="N30">
        <f t="shared" si="10"/>
        <v>2205.1999999999998</v>
      </c>
      <c r="O30">
        <f t="shared" si="11"/>
        <v>2198.8000000000002</v>
      </c>
      <c r="P30">
        <f t="shared" si="12"/>
        <v>2192.4</v>
      </c>
      <c r="Q30">
        <f t="shared" si="13"/>
        <v>2186</v>
      </c>
      <c r="R30">
        <f t="shared" si="14"/>
        <v>2179.6</v>
      </c>
      <c r="S30">
        <f t="shared" si="15"/>
        <v>2173.1999999999998</v>
      </c>
      <c r="T30">
        <f t="shared" si="16"/>
        <v>2166.8000000000002</v>
      </c>
      <c r="U30">
        <f t="shared" si="17"/>
        <v>2160.4</v>
      </c>
      <c r="V30">
        <v>2154</v>
      </c>
      <c r="W30">
        <f t="shared" si="18"/>
        <v>2132.6</v>
      </c>
      <c r="X30">
        <f t="shared" si="19"/>
        <v>2111.1999999999998</v>
      </c>
      <c r="Y30">
        <f t="shared" si="20"/>
        <v>2089.8000000000002</v>
      </c>
      <c r="Z30">
        <f t="shared" si="21"/>
        <v>2068.4</v>
      </c>
      <c r="AA30">
        <f t="shared" si="22"/>
        <v>2047</v>
      </c>
      <c r="AB30">
        <f t="shared" si="23"/>
        <v>2025.6</v>
      </c>
      <c r="AC30">
        <f t="shared" si="24"/>
        <v>2004.2</v>
      </c>
      <c r="AD30">
        <f t="shared" si="25"/>
        <v>1982.8</v>
      </c>
      <c r="AE30">
        <f t="shared" si="26"/>
        <v>1961.4</v>
      </c>
      <c r="AF30">
        <v>1940</v>
      </c>
      <c r="AG30">
        <f t="shared" si="27"/>
        <v>1922</v>
      </c>
      <c r="AH30">
        <f t="shared" si="28"/>
        <v>1904</v>
      </c>
      <c r="AI30">
        <f t="shared" si="29"/>
        <v>1886</v>
      </c>
      <c r="AJ30">
        <f t="shared" si="30"/>
        <v>1868</v>
      </c>
      <c r="AK30">
        <f t="shared" si="31"/>
        <v>1850</v>
      </c>
      <c r="AL30">
        <f t="shared" si="32"/>
        <v>1832</v>
      </c>
      <c r="AM30">
        <f t="shared" si="33"/>
        <v>1814</v>
      </c>
      <c r="AN30">
        <f t="shared" si="34"/>
        <v>1796</v>
      </c>
      <c r="AO30">
        <f t="shared" si="35"/>
        <v>1778</v>
      </c>
      <c r="AP30">
        <v>1760</v>
      </c>
      <c r="AQ30">
        <f t="shared" si="36"/>
        <v>1742.1822272215973</v>
      </c>
      <c r="AR30">
        <f t="shared" si="37"/>
        <v>1724.5448368447755</v>
      </c>
      <c r="AS30">
        <f t="shared" si="38"/>
        <v>1707.0860027259871</v>
      </c>
      <c r="AT30">
        <f t="shared" si="39"/>
        <v>1689.8039172090762</v>
      </c>
      <c r="AU30">
        <f t="shared" si="40"/>
        <v>1672.6967909381183</v>
      </c>
      <c r="AV30">
        <f t="shared" si="41"/>
        <v>1655.7628526721533</v>
      </c>
      <c r="AW30">
        <f t="shared" si="42"/>
        <v>1639.0003491017942</v>
      </c>
      <c r="AX30">
        <f t="shared" si="43"/>
        <v>1622.4075446676929</v>
      </c>
      <c r="AY30">
        <f t="shared" si="44"/>
        <v>1605.9827213808435</v>
      </c>
    </row>
    <row r="31" spans="1:51" x14ac:dyDescent="0.35">
      <c r="A31" t="s">
        <v>337</v>
      </c>
      <c r="B31">
        <v>4497</v>
      </c>
      <c r="C31">
        <f t="shared" si="46"/>
        <v>4525.6000000000004</v>
      </c>
      <c r="D31">
        <f t="shared" si="47"/>
        <v>4554.2</v>
      </c>
      <c r="E31">
        <f t="shared" si="48"/>
        <v>4582.8</v>
      </c>
      <c r="F31">
        <f t="shared" si="49"/>
        <v>4611.3999999999996</v>
      </c>
      <c r="G31">
        <f t="shared" si="50"/>
        <v>4640</v>
      </c>
      <c r="H31">
        <f t="shared" si="51"/>
        <v>4668.6000000000004</v>
      </c>
      <c r="I31">
        <f t="shared" si="52"/>
        <v>4697.2</v>
      </c>
      <c r="J31">
        <f t="shared" si="53"/>
        <v>4725.8</v>
      </c>
      <c r="K31">
        <f t="shared" si="54"/>
        <v>4754.3999999999996</v>
      </c>
      <c r="L31">
        <v>4783</v>
      </c>
      <c r="M31">
        <f t="shared" si="9"/>
        <v>4832.8</v>
      </c>
      <c r="N31">
        <f t="shared" si="10"/>
        <v>4882.6000000000004</v>
      </c>
      <c r="O31">
        <f t="shared" si="11"/>
        <v>4932.3999999999996</v>
      </c>
      <c r="P31">
        <f t="shared" si="12"/>
        <v>4982.2</v>
      </c>
      <c r="Q31">
        <f t="shared" si="13"/>
        <v>5032</v>
      </c>
      <c r="R31">
        <f t="shared" si="14"/>
        <v>5081.8</v>
      </c>
      <c r="S31">
        <f t="shared" si="15"/>
        <v>5131.6000000000004</v>
      </c>
      <c r="T31">
        <f t="shared" si="16"/>
        <v>5181.3999999999996</v>
      </c>
      <c r="U31">
        <f t="shared" si="17"/>
        <v>5231.2</v>
      </c>
      <c r="V31">
        <v>5281</v>
      </c>
      <c r="W31">
        <f t="shared" si="18"/>
        <v>5319.6</v>
      </c>
      <c r="X31">
        <f t="shared" si="19"/>
        <v>5358.2</v>
      </c>
      <c r="Y31">
        <f t="shared" si="20"/>
        <v>5396.8</v>
      </c>
      <c r="Z31">
        <f t="shared" si="21"/>
        <v>5435.4</v>
      </c>
      <c r="AA31">
        <f t="shared" si="22"/>
        <v>5474</v>
      </c>
      <c r="AB31">
        <f t="shared" si="23"/>
        <v>5512.6</v>
      </c>
      <c r="AC31">
        <f t="shared" si="24"/>
        <v>5551.2</v>
      </c>
      <c r="AD31">
        <f t="shared" si="25"/>
        <v>5589.8</v>
      </c>
      <c r="AE31">
        <f t="shared" si="26"/>
        <v>5628.4</v>
      </c>
      <c r="AF31">
        <v>5667</v>
      </c>
      <c r="AG31">
        <f t="shared" si="27"/>
        <v>5708.6</v>
      </c>
      <c r="AH31">
        <f t="shared" si="28"/>
        <v>5750.2</v>
      </c>
      <c r="AI31">
        <f t="shared" si="29"/>
        <v>5791.8</v>
      </c>
      <c r="AJ31">
        <f t="shared" si="30"/>
        <v>5833.4</v>
      </c>
      <c r="AK31">
        <f t="shared" si="31"/>
        <v>5875</v>
      </c>
      <c r="AL31">
        <f t="shared" si="32"/>
        <v>5916.6</v>
      </c>
      <c r="AM31">
        <f t="shared" si="33"/>
        <v>5958.2</v>
      </c>
      <c r="AN31">
        <f t="shared" si="34"/>
        <v>5999.8</v>
      </c>
      <c r="AO31">
        <f t="shared" si="35"/>
        <v>6041.4</v>
      </c>
      <c r="AP31">
        <v>6083</v>
      </c>
      <c r="AQ31">
        <f t="shared" si="36"/>
        <v>6124.8864501605585</v>
      </c>
      <c r="AR31">
        <f t="shared" si="37"/>
        <v>6167.0613229262553</v>
      </c>
      <c r="AS31">
        <f t="shared" si="38"/>
        <v>6209.5266043235688</v>
      </c>
      <c r="AT31">
        <f t="shared" si="39"/>
        <v>6252.2842940544024</v>
      </c>
      <c r="AU31">
        <f t="shared" si="40"/>
        <v>6295.3364055902484</v>
      </c>
      <c r="AV31">
        <f t="shared" si="41"/>
        <v>6338.6849662670047</v>
      </c>
      <c r="AW31">
        <f t="shared" si="42"/>
        <v>6382.3320173804395</v>
      </c>
      <c r="AX31">
        <f t="shared" si="43"/>
        <v>6426.2796142823208</v>
      </c>
      <c r="AY31">
        <f t="shared" si="44"/>
        <v>6470.5298264772</v>
      </c>
    </row>
    <row r="32" spans="1:51" x14ac:dyDescent="0.35">
      <c r="A32" t="s">
        <v>338</v>
      </c>
      <c r="B32">
        <v>38309</v>
      </c>
      <c r="C32">
        <f t="shared" si="46"/>
        <v>39494.5</v>
      </c>
      <c r="D32">
        <f t="shared" si="47"/>
        <v>40680</v>
      </c>
      <c r="E32">
        <f t="shared" si="48"/>
        <v>41865.5</v>
      </c>
      <c r="F32">
        <f t="shared" si="49"/>
        <v>43051</v>
      </c>
      <c r="G32">
        <f t="shared" si="50"/>
        <v>44236.5</v>
      </c>
      <c r="H32">
        <f t="shared" si="51"/>
        <v>45422</v>
      </c>
      <c r="I32">
        <f t="shared" si="52"/>
        <v>46607.5</v>
      </c>
      <c r="J32">
        <f t="shared" si="53"/>
        <v>47793</v>
      </c>
      <c r="K32">
        <f t="shared" si="54"/>
        <v>48978.5</v>
      </c>
      <c r="L32">
        <v>50164</v>
      </c>
      <c r="M32">
        <f t="shared" si="9"/>
        <v>50362.7</v>
      </c>
      <c r="N32">
        <f t="shared" si="10"/>
        <v>50561.4</v>
      </c>
      <c r="O32">
        <f t="shared" si="11"/>
        <v>50760.1</v>
      </c>
      <c r="P32">
        <f t="shared" si="12"/>
        <v>50958.8</v>
      </c>
      <c r="Q32">
        <f t="shared" si="13"/>
        <v>51157.5</v>
      </c>
      <c r="R32">
        <f t="shared" si="14"/>
        <v>51356.2</v>
      </c>
      <c r="S32">
        <f t="shared" si="15"/>
        <v>51554.9</v>
      </c>
      <c r="T32">
        <f t="shared" si="16"/>
        <v>51753.599999999999</v>
      </c>
      <c r="U32">
        <f t="shared" si="17"/>
        <v>51952.3</v>
      </c>
      <c r="V32">
        <v>52151</v>
      </c>
      <c r="W32">
        <f t="shared" si="18"/>
        <v>52440.3</v>
      </c>
      <c r="X32">
        <f t="shared" si="19"/>
        <v>52729.599999999999</v>
      </c>
      <c r="Y32">
        <f t="shared" si="20"/>
        <v>53018.9</v>
      </c>
      <c r="Z32">
        <f t="shared" si="21"/>
        <v>53308.2</v>
      </c>
      <c r="AA32">
        <f t="shared" si="22"/>
        <v>53597.5</v>
      </c>
      <c r="AB32">
        <f t="shared" si="23"/>
        <v>53886.8</v>
      </c>
      <c r="AC32">
        <f t="shared" si="24"/>
        <v>54176.1</v>
      </c>
      <c r="AD32">
        <f t="shared" si="25"/>
        <v>54465.4</v>
      </c>
      <c r="AE32">
        <f t="shared" si="26"/>
        <v>54754.7</v>
      </c>
      <c r="AF32">
        <v>55044</v>
      </c>
      <c r="AG32">
        <f t="shared" si="27"/>
        <v>55168.2</v>
      </c>
      <c r="AH32">
        <f t="shared" si="28"/>
        <v>55292.4</v>
      </c>
      <c r="AI32">
        <f t="shared" si="29"/>
        <v>55416.6</v>
      </c>
      <c r="AJ32">
        <f t="shared" si="30"/>
        <v>55540.800000000003</v>
      </c>
      <c r="AK32">
        <f t="shared" si="31"/>
        <v>55665</v>
      </c>
      <c r="AL32">
        <f t="shared" si="32"/>
        <v>55789.2</v>
      </c>
      <c r="AM32">
        <f t="shared" si="33"/>
        <v>55913.4</v>
      </c>
      <c r="AN32">
        <f t="shared" si="34"/>
        <v>56037.599999999999</v>
      </c>
      <c r="AO32">
        <f t="shared" si="35"/>
        <v>56161.8</v>
      </c>
      <c r="AP32">
        <v>56286</v>
      </c>
      <c r="AQ32">
        <f t="shared" si="36"/>
        <v>56410.474664273584</v>
      </c>
      <c r="AR32">
        <f t="shared" si="37"/>
        <v>56535.224600231886</v>
      </c>
      <c r="AS32">
        <f t="shared" si="38"/>
        <v>56660.250416629315</v>
      </c>
      <c r="AT32">
        <f t="shared" si="39"/>
        <v>56785.552723566514</v>
      </c>
      <c r="AU32">
        <f t="shared" si="40"/>
        <v>56911.132132493345</v>
      </c>
      <c r="AV32">
        <f t="shared" si="41"/>
        <v>57036.989256211884</v>
      </c>
      <c r="AW32">
        <f t="shared" si="42"/>
        <v>57163.124708879383</v>
      </c>
      <c r="AX32">
        <f t="shared" si="43"/>
        <v>57289.539106011296</v>
      </c>
      <c r="AY32">
        <f t="shared" si="44"/>
        <v>57416.233064484259</v>
      </c>
    </row>
    <row r="33" spans="1:51" x14ac:dyDescent="0.35">
      <c r="A33" t="s">
        <v>72</v>
      </c>
      <c r="B33">
        <v>27615</v>
      </c>
      <c r="C33">
        <f t="shared" si="46"/>
        <v>29096.799999999999</v>
      </c>
      <c r="D33">
        <f t="shared" si="47"/>
        <v>30578.6</v>
      </c>
      <c r="E33">
        <f t="shared" si="48"/>
        <v>32060.400000000001</v>
      </c>
      <c r="F33">
        <f t="shared" si="49"/>
        <v>33542.199999999997</v>
      </c>
      <c r="G33">
        <f t="shared" si="50"/>
        <v>35024</v>
      </c>
      <c r="H33">
        <f t="shared" si="51"/>
        <v>36505.800000000003</v>
      </c>
      <c r="I33">
        <f t="shared" si="52"/>
        <v>37987.599999999999</v>
      </c>
      <c r="J33">
        <f t="shared" si="53"/>
        <v>39469.4</v>
      </c>
      <c r="K33">
        <f t="shared" si="54"/>
        <v>40951.199999999997</v>
      </c>
      <c r="L33">
        <v>42433</v>
      </c>
      <c r="M33">
        <f t="shared" si="9"/>
        <v>42649</v>
      </c>
      <c r="N33">
        <f t="shared" si="10"/>
        <v>42865</v>
      </c>
      <c r="O33">
        <f t="shared" si="11"/>
        <v>43081</v>
      </c>
      <c r="P33">
        <f t="shared" si="12"/>
        <v>43297</v>
      </c>
      <c r="Q33">
        <f t="shared" si="13"/>
        <v>43513</v>
      </c>
      <c r="R33">
        <f t="shared" si="14"/>
        <v>43729</v>
      </c>
      <c r="S33">
        <f t="shared" si="15"/>
        <v>43945</v>
      </c>
      <c r="T33">
        <f t="shared" si="16"/>
        <v>44161</v>
      </c>
      <c r="U33">
        <f t="shared" si="17"/>
        <v>44377</v>
      </c>
      <c r="V33">
        <v>44593</v>
      </c>
      <c r="W33">
        <f t="shared" si="18"/>
        <v>45202.8</v>
      </c>
      <c r="X33">
        <f t="shared" si="19"/>
        <v>45812.6</v>
      </c>
      <c r="Y33">
        <f t="shared" si="20"/>
        <v>46422.400000000001</v>
      </c>
      <c r="Z33">
        <f t="shared" si="21"/>
        <v>47032.2</v>
      </c>
      <c r="AA33">
        <f t="shared" si="22"/>
        <v>47642</v>
      </c>
      <c r="AB33">
        <f t="shared" si="23"/>
        <v>48251.8</v>
      </c>
      <c r="AC33">
        <f t="shared" si="24"/>
        <v>48861.599999999999</v>
      </c>
      <c r="AD33">
        <f t="shared" si="25"/>
        <v>49471.4</v>
      </c>
      <c r="AE33">
        <f t="shared" si="26"/>
        <v>50081.2</v>
      </c>
      <c r="AF33">
        <v>50691</v>
      </c>
      <c r="AG33">
        <f t="shared" si="27"/>
        <v>51258.6</v>
      </c>
      <c r="AH33">
        <f t="shared" si="28"/>
        <v>51826.2</v>
      </c>
      <c r="AI33">
        <f t="shared" si="29"/>
        <v>52393.8</v>
      </c>
      <c r="AJ33">
        <f t="shared" si="30"/>
        <v>52961.4</v>
      </c>
      <c r="AK33">
        <f t="shared" si="31"/>
        <v>53529</v>
      </c>
      <c r="AL33">
        <f t="shared" si="32"/>
        <v>54096.6</v>
      </c>
      <c r="AM33">
        <f t="shared" si="33"/>
        <v>54664.2</v>
      </c>
      <c r="AN33">
        <f t="shared" si="34"/>
        <v>55231.8</v>
      </c>
      <c r="AO33">
        <f t="shared" si="35"/>
        <v>55799.4</v>
      </c>
      <c r="AP33">
        <v>56367</v>
      </c>
      <c r="AQ33">
        <f t="shared" si="36"/>
        <v>56940.373713695837</v>
      </c>
      <c r="AR33">
        <f t="shared" si="37"/>
        <v>57519.579872183087</v>
      </c>
      <c r="AS33">
        <f t="shared" si="38"/>
        <v>58104.677803978964</v>
      </c>
      <c r="AT33">
        <f t="shared" si="39"/>
        <v>58695.7274410994</v>
      </c>
      <c r="AU33">
        <f t="shared" si="40"/>
        <v>59292.789325197933</v>
      </c>
      <c r="AV33">
        <f t="shared" si="41"/>
        <v>59895.92461376702</v>
      </c>
      <c r="AW33">
        <f t="shared" si="42"/>
        <v>60505.195086402455</v>
      </c>
      <c r="AX33">
        <f t="shared" si="43"/>
        <v>61120.663151131499</v>
      </c>
      <c r="AY33">
        <f t="shared" si="44"/>
        <v>61742.391850805361</v>
      </c>
    </row>
    <row r="34" spans="1:51" x14ac:dyDescent="0.35">
      <c r="A34" t="s">
        <v>256</v>
      </c>
      <c r="B34">
        <v>35280</v>
      </c>
      <c r="C34">
        <f t="shared" si="46"/>
        <v>36143.4</v>
      </c>
      <c r="D34">
        <f t="shared" si="47"/>
        <v>37006.800000000003</v>
      </c>
      <c r="E34">
        <f t="shared" si="48"/>
        <v>37870.199999999997</v>
      </c>
      <c r="F34">
        <f t="shared" si="49"/>
        <v>38733.599999999999</v>
      </c>
      <c r="G34">
        <f t="shared" si="50"/>
        <v>39597</v>
      </c>
      <c r="H34">
        <f t="shared" si="51"/>
        <v>40460.400000000001</v>
      </c>
      <c r="I34">
        <f t="shared" si="52"/>
        <v>41323.800000000003</v>
      </c>
      <c r="J34">
        <f t="shared" si="53"/>
        <v>42187.199999999997</v>
      </c>
      <c r="K34">
        <f t="shared" si="54"/>
        <v>43050.6</v>
      </c>
      <c r="L34">
        <v>43914</v>
      </c>
      <c r="M34">
        <f t="shared" ref="M34:M61" si="55">$V34-($V34-$L34)*(9/10)</f>
        <v>44261</v>
      </c>
      <c r="N34">
        <f t="shared" ref="N34:N61" si="56">$V34-($V34-$L34)*(8/10)</f>
        <v>44608</v>
      </c>
      <c r="O34">
        <f t="shared" ref="O34:O61" si="57">$V34-($V34-$L34)*(7/10)</f>
        <v>44955</v>
      </c>
      <c r="P34">
        <f t="shared" ref="P34:P61" si="58">$V34-($V34-$L34)*(6/10)</f>
        <v>45302</v>
      </c>
      <c r="Q34">
        <f t="shared" ref="Q34:Q61" si="59">$V34-($V34-$L34)*(5/10)</f>
        <v>45649</v>
      </c>
      <c r="R34">
        <f t="shared" ref="R34:R61" si="60">$V34-($V34-$L34)*(4/10)</f>
        <v>45996</v>
      </c>
      <c r="S34">
        <f t="shared" ref="S34:S61" si="61">$V34-($V34-$L34)*(3/10)</f>
        <v>46343</v>
      </c>
      <c r="T34">
        <f t="shared" ref="T34:T61" si="62">$V34-($V34-$L34)*(2/10)</f>
        <v>46690</v>
      </c>
      <c r="U34">
        <f t="shared" ref="U34:U61" si="63">$V34-($V34-$L34)*(1/10)</f>
        <v>47037</v>
      </c>
      <c r="V34">
        <v>47384</v>
      </c>
      <c r="W34">
        <f t="shared" ref="W34:W61" si="64">$AF34-($AF34-$V34)*(9/10)</f>
        <v>47576.2</v>
      </c>
      <c r="X34">
        <f t="shared" ref="X34:X61" si="65">$AF34-($AF34-$V34)*(8/10)</f>
        <v>47768.4</v>
      </c>
      <c r="Y34">
        <f t="shared" ref="Y34:Y61" si="66">$AF34-($AF34-$V34)*(7/10)</f>
        <v>47960.6</v>
      </c>
      <c r="Z34">
        <f t="shared" ref="Z34:Z61" si="67">$AF34-($AF34-$V34)*(6/10)</f>
        <v>48152.800000000003</v>
      </c>
      <c r="AA34">
        <f t="shared" ref="AA34:AA61" si="68">$AF34-($AF34-$V34)*(5/10)</f>
        <v>48345</v>
      </c>
      <c r="AB34">
        <f t="shared" ref="AB34:AB61" si="69">$AF34-($AF34-$V34)*(4/10)</f>
        <v>48537.2</v>
      </c>
      <c r="AC34">
        <f t="shared" ref="AC34:AC61" si="70">$AF34-($AF34-$V34)*(3/10)</f>
        <v>48729.4</v>
      </c>
      <c r="AD34">
        <f t="shared" ref="AD34:AD61" si="71">$AF34-($AF34-$V34)*(2/10)</f>
        <v>48921.599999999999</v>
      </c>
      <c r="AE34">
        <f t="shared" ref="AE34:AE61" si="72">$AF34-($AF34-$V34)*(1/10)</f>
        <v>49113.8</v>
      </c>
      <c r="AF34">
        <v>49306</v>
      </c>
      <c r="AG34">
        <f t="shared" ref="AG34:AG61" si="73">$AP34-($AP34-$AF34)*(9/10)</f>
        <v>49303.5</v>
      </c>
      <c r="AH34">
        <f t="shared" ref="AH34:AH61" si="74">$AP34-($AP34-$AF34)*(8/10)</f>
        <v>49301</v>
      </c>
      <c r="AI34">
        <f t="shared" ref="AI34:AI61" si="75">$AP34-($AP34-$AF34)*(7/10)</f>
        <v>49298.5</v>
      </c>
      <c r="AJ34">
        <f t="shared" ref="AJ34:AJ61" si="76">$AP34-($AP34-$AF34)*(6/10)</f>
        <v>49296</v>
      </c>
      <c r="AK34">
        <f t="shared" ref="AK34:AK61" si="77">$AP34-($AP34-$AF34)*(5/10)</f>
        <v>49293.5</v>
      </c>
      <c r="AL34">
        <f t="shared" ref="AL34:AL61" si="78">$AP34-($AP34-$AF34)*(4/10)</f>
        <v>49291</v>
      </c>
      <c r="AM34">
        <f t="shared" ref="AM34:AM61" si="79">$AP34-($AP34-$AF34)*(3/10)</f>
        <v>49288.5</v>
      </c>
      <c r="AN34">
        <f t="shared" ref="AN34:AN61" si="80">$AP34-($AP34-$AF34)*(2/10)</f>
        <v>49286</v>
      </c>
      <c r="AO34">
        <f t="shared" ref="AO34:AO61" si="81">$AP34-($AP34-$AF34)*(1/10)</f>
        <v>49283.5</v>
      </c>
      <c r="AP34">
        <v>49281</v>
      </c>
      <c r="AQ34">
        <f t="shared" ref="AQ34:AQ61" si="82">AP34*(1+((AP34/AO34)-1))</f>
        <v>49278.500126817293</v>
      </c>
      <c r="AR34">
        <f t="shared" ref="AR34:AR61" si="83">AQ34*(1+((AQ34/AP34)-1))</f>
        <v>49276.000380445446</v>
      </c>
      <c r="AS34">
        <f t="shared" ref="AS34:AS61" si="84">AR34*(1+((AR34/AQ34)-1))</f>
        <v>49273.500760878029</v>
      </c>
      <c r="AT34">
        <f t="shared" ref="AT34:AT61" si="85">AS34*(1+((AS34/AR34)-1))</f>
        <v>49271.001268108601</v>
      </c>
      <c r="AU34">
        <f t="shared" ref="AU34:AU61" si="86">AT34*(1+((AT34/AS34)-1))</f>
        <v>49268.501902130738</v>
      </c>
      <c r="AV34">
        <f t="shared" ref="AV34:AV61" si="87">AU34*(1+((AU34/AT34)-1))</f>
        <v>49266.002662938001</v>
      </c>
      <c r="AW34">
        <f t="shared" ref="AW34:AW61" si="88">AV34*(1+((AV34/AU34)-1))</f>
        <v>49263.503550523965</v>
      </c>
      <c r="AX34">
        <f t="shared" ref="AX34:AX61" si="89">AW34*(1+((AW34/AV34)-1))</f>
        <v>49261.004564882198</v>
      </c>
      <c r="AY34">
        <f t="shared" ref="AY34:AY61" si="90">AX34*(1+((AX34/AW34)-1))</f>
        <v>49258.505706006268</v>
      </c>
    </row>
    <row r="35" spans="1:51" x14ac:dyDescent="0.35">
      <c r="A35" t="s">
        <v>339</v>
      </c>
      <c r="B35">
        <v>14848</v>
      </c>
      <c r="C35">
        <f t="shared" si="46"/>
        <v>14881.1</v>
      </c>
      <c r="D35">
        <f t="shared" si="47"/>
        <v>14914.2</v>
      </c>
      <c r="E35">
        <f t="shared" si="48"/>
        <v>14947.3</v>
      </c>
      <c r="F35">
        <f t="shared" si="49"/>
        <v>14980.4</v>
      </c>
      <c r="G35">
        <f t="shared" si="50"/>
        <v>15013.5</v>
      </c>
      <c r="H35">
        <f t="shared" si="51"/>
        <v>15046.6</v>
      </c>
      <c r="I35">
        <f t="shared" si="52"/>
        <v>15079.7</v>
      </c>
      <c r="J35">
        <f t="shared" si="53"/>
        <v>15112.8</v>
      </c>
      <c r="K35">
        <f t="shared" si="54"/>
        <v>15145.9</v>
      </c>
      <c r="L35">
        <v>15179</v>
      </c>
      <c r="M35">
        <f t="shared" si="55"/>
        <v>15085.8</v>
      </c>
      <c r="N35">
        <f t="shared" si="56"/>
        <v>14992.6</v>
      </c>
      <c r="O35">
        <f t="shared" si="57"/>
        <v>14899.4</v>
      </c>
      <c r="P35">
        <f t="shared" si="58"/>
        <v>14806.2</v>
      </c>
      <c r="Q35">
        <f t="shared" si="59"/>
        <v>14713</v>
      </c>
      <c r="R35">
        <f t="shared" si="60"/>
        <v>14619.8</v>
      </c>
      <c r="S35">
        <f t="shared" si="61"/>
        <v>14526.6</v>
      </c>
      <c r="T35">
        <f t="shared" si="62"/>
        <v>14433.4</v>
      </c>
      <c r="U35">
        <f t="shared" si="63"/>
        <v>14340.2</v>
      </c>
      <c r="V35">
        <v>14247</v>
      </c>
      <c r="W35">
        <f t="shared" si="64"/>
        <v>14168.8</v>
      </c>
      <c r="X35">
        <f t="shared" si="65"/>
        <v>14090.6</v>
      </c>
      <c r="Y35">
        <f t="shared" si="66"/>
        <v>14012.4</v>
      </c>
      <c r="Z35">
        <f t="shared" si="67"/>
        <v>13934.2</v>
      </c>
      <c r="AA35">
        <f t="shared" si="68"/>
        <v>13856</v>
      </c>
      <c r="AB35">
        <f t="shared" si="69"/>
        <v>13777.8</v>
      </c>
      <c r="AC35">
        <f t="shared" si="70"/>
        <v>13699.6</v>
      </c>
      <c r="AD35">
        <f t="shared" si="71"/>
        <v>13621.4</v>
      </c>
      <c r="AE35">
        <f t="shared" si="72"/>
        <v>13543.2</v>
      </c>
      <c r="AF35">
        <v>13465</v>
      </c>
      <c r="AG35">
        <f t="shared" si="73"/>
        <v>13356.9</v>
      </c>
      <c r="AH35">
        <f t="shared" si="74"/>
        <v>13248.8</v>
      </c>
      <c r="AI35">
        <f t="shared" si="75"/>
        <v>13140.7</v>
      </c>
      <c r="AJ35">
        <f t="shared" si="76"/>
        <v>13032.6</v>
      </c>
      <c r="AK35">
        <f t="shared" si="77"/>
        <v>12924.5</v>
      </c>
      <c r="AL35">
        <f t="shared" si="78"/>
        <v>12816.4</v>
      </c>
      <c r="AM35">
        <f t="shared" si="79"/>
        <v>12708.3</v>
      </c>
      <c r="AN35">
        <f t="shared" si="80"/>
        <v>12600.2</v>
      </c>
      <c r="AO35">
        <f t="shared" si="81"/>
        <v>12492.1</v>
      </c>
      <c r="AP35">
        <v>12384</v>
      </c>
      <c r="AQ35">
        <f t="shared" si="82"/>
        <v>12276.835439998078</v>
      </c>
      <c r="AR35">
        <f t="shared" si="83"/>
        <v>12170.598225193216</v>
      </c>
      <c r="AS35">
        <f t="shared" si="84"/>
        <v>12065.280330832507</v>
      </c>
      <c r="AT35">
        <f t="shared" si="85"/>
        <v>11960.873801604994</v>
      </c>
      <c r="AU35">
        <f t="shared" si="86"/>
        <v>11857.370751040755</v>
      </c>
      <c r="AV35">
        <f t="shared" si="87"/>
        <v>11754.763360915193</v>
      </c>
      <c r="AW35">
        <f t="shared" si="88"/>
        <v>11653.043880658473</v>
      </c>
      <c r="AX35">
        <f t="shared" si="89"/>
        <v>11552.204626770079</v>
      </c>
      <c r="AY35">
        <f t="shared" si="90"/>
        <v>11452.237982238425</v>
      </c>
    </row>
    <row r="36" spans="1:51" x14ac:dyDescent="0.35">
      <c r="A36" t="s">
        <v>340</v>
      </c>
      <c r="B36">
        <v>1458</v>
      </c>
      <c r="C36">
        <f t="shared" si="46"/>
        <v>1452.1</v>
      </c>
      <c r="D36">
        <f t="shared" si="47"/>
        <v>1446.2</v>
      </c>
      <c r="E36">
        <f t="shared" si="48"/>
        <v>1440.3</v>
      </c>
      <c r="F36">
        <f t="shared" si="49"/>
        <v>1434.4</v>
      </c>
      <c r="G36">
        <f t="shared" si="50"/>
        <v>1428.5</v>
      </c>
      <c r="H36">
        <f t="shared" si="51"/>
        <v>1422.6</v>
      </c>
      <c r="I36">
        <f t="shared" si="52"/>
        <v>1416.7</v>
      </c>
      <c r="J36">
        <f t="shared" si="53"/>
        <v>1410.8</v>
      </c>
      <c r="K36">
        <f t="shared" si="54"/>
        <v>1404.9</v>
      </c>
      <c r="L36">
        <v>1399</v>
      </c>
      <c r="M36">
        <f t="shared" si="55"/>
        <v>1408.7</v>
      </c>
      <c r="N36">
        <f t="shared" si="56"/>
        <v>1418.4</v>
      </c>
      <c r="O36">
        <f t="shared" si="57"/>
        <v>1428.1</v>
      </c>
      <c r="P36">
        <f t="shared" si="58"/>
        <v>1437.8</v>
      </c>
      <c r="Q36">
        <f t="shared" si="59"/>
        <v>1447.5</v>
      </c>
      <c r="R36">
        <f t="shared" si="60"/>
        <v>1457.2</v>
      </c>
      <c r="S36">
        <f t="shared" si="61"/>
        <v>1466.9</v>
      </c>
      <c r="T36">
        <f t="shared" si="62"/>
        <v>1476.6</v>
      </c>
      <c r="U36">
        <f t="shared" si="63"/>
        <v>1486.3</v>
      </c>
      <c r="V36">
        <v>1496</v>
      </c>
      <c r="W36">
        <f t="shared" si="64"/>
        <v>1486.7</v>
      </c>
      <c r="X36">
        <f t="shared" si="65"/>
        <v>1477.4</v>
      </c>
      <c r="Y36">
        <f t="shared" si="66"/>
        <v>1468.1</v>
      </c>
      <c r="Z36">
        <f t="shared" si="67"/>
        <v>1458.8</v>
      </c>
      <c r="AA36">
        <f t="shared" si="68"/>
        <v>1449.5</v>
      </c>
      <c r="AB36">
        <f t="shared" si="69"/>
        <v>1440.2</v>
      </c>
      <c r="AC36">
        <f t="shared" si="70"/>
        <v>1430.9</v>
      </c>
      <c r="AD36">
        <f t="shared" si="71"/>
        <v>1421.6</v>
      </c>
      <c r="AE36">
        <f t="shared" si="72"/>
        <v>1412.3</v>
      </c>
      <c r="AF36">
        <v>1403</v>
      </c>
      <c r="AG36">
        <f t="shared" si="73"/>
        <v>1374.4</v>
      </c>
      <c r="AH36">
        <f t="shared" si="74"/>
        <v>1345.8</v>
      </c>
      <c r="AI36">
        <f t="shared" si="75"/>
        <v>1317.2</v>
      </c>
      <c r="AJ36">
        <f t="shared" si="76"/>
        <v>1288.5999999999999</v>
      </c>
      <c r="AK36">
        <f t="shared" si="77"/>
        <v>1260</v>
      </c>
      <c r="AL36">
        <f t="shared" si="78"/>
        <v>1231.4000000000001</v>
      </c>
      <c r="AM36">
        <f t="shared" si="79"/>
        <v>1202.8</v>
      </c>
      <c r="AN36">
        <f t="shared" si="80"/>
        <v>1174.2</v>
      </c>
      <c r="AO36">
        <f t="shared" si="81"/>
        <v>1145.5999999999999</v>
      </c>
      <c r="AP36">
        <v>1117</v>
      </c>
      <c r="AQ36">
        <f t="shared" si="82"/>
        <v>1089.1140013966481</v>
      </c>
      <c r="AR36">
        <f t="shared" si="83"/>
        <v>1061.9241790852443</v>
      </c>
      <c r="AS36">
        <f t="shared" si="84"/>
        <v>1035.4131529663214</v>
      </c>
      <c r="AT36">
        <f t="shared" si="85"/>
        <v>1009.5639768360518</v>
      </c>
      <c r="AU36">
        <f t="shared" si="86"/>
        <v>984.36012755400645</v>
      </c>
      <c r="AV36">
        <f t="shared" si="87"/>
        <v>959.78549448134174</v>
      </c>
      <c r="AW36">
        <f t="shared" si="88"/>
        <v>935.82436918266296</v>
      </c>
      <c r="AX36">
        <f t="shared" si="89"/>
        <v>912.4614353849812</v>
      </c>
      <c r="AY36">
        <f t="shared" si="90"/>
        <v>889.6817591873463</v>
      </c>
    </row>
    <row r="37" spans="1:51" x14ac:dyDescent="0.35">
      <c r="A37" t="s">
        <v>341</v>
      </c>
      <c r="B37">
        <v>3129</v>
      </c>
      <c r="C37">
        <f t="shared" si="46"/>
        <v>3195.7</v>
      </c>
      <c r="D37">
        <f t="shared" si="47"/>
        <v>3262.4</v>
      </c>
      <c r="E37">
        <f t="shared" si="48"/>
        <v>3329.1</v>
      </c>
      <c r="F37">
        <f t="shared" si="49"/>
        <v>3395.8</v>
      </c>
      <c r="G37">
        <f t="shared" si="50"/>
        <v>3462.5</v>
      </c>
      <c r="H37">
        <f t="shared" si="51"/>
        <v>3529.2</v>
      </c>
      <c r="I37">
        <f t="shared" si="52"/>
        <v>3595.9</v>
      </c>
      <c r="J37">
        <f t="shared" si="53"/>
        <v>3662.6</v>
      </c>
      <c r="K37">
        <f t="shared" si="54"/>
        <v>3729.3</v>
      </c>
      <c r="L37">
        <v>3796</v>
      </c>
      <c r="M37">
        <f t="shared" si="55"/>
        <v>3782.5</v>
      </c>
      <c r="N37">
        <f t="shared" si="56"/>
        <v>3769</v>
      </c>
      <c r="O37">
        <f t="shared" si="57"/>
        <v>3755.5</v>
      </c>
      <c r="P37">
        <f t="shared" si="58"/>
        <v>3742</v>
      </c>
      <c r="Q37">
        <f t="shared" si="59"/>
        <v>3728.5</v>
      </c>
      <c r="R37">
        <f t="shared" si="60"/>
        <v>3715</v>
      </c>
      <c r="S37">
        <f t="shared" si="61"/>
        <v>3701.5</v>
      </c>
      <c r="T37">
        <f t="shared" si="62"/>
        <v>3688</v>
      </c>
      <c r="U37">
        <f t="shared" si="63"/>
        <v>3674.5</v>
      </c>
      <c r="V37">
        <v>3661</v>
      </c>
      <c r="W37">
        <f t="shared" si="64"/>
        <v>3657</v>
      </c>
      <c r="X37">
        <f t="shared" si="65"/>
        <v>3653</v>
      </c>
      <c r="Y37">
        <f t="shared" si="66"/>
        <v>3649</v>
      </c>
      <c r="Z37">
        <f t="shared" si="67"/>
        <v>3645</v>
      </c>
      <c r="AA37">
        <f t="shared" si="68"/>
        <v>3641</v>
      </c>
      <c r="AB37">
        <f t="shared" si="69"/>
        <v>3637</v>
      </c>
      <c r="AC37">
        <f t="shared" si="70"/>
        <v>3633</v>
      </c>
      <c r="AD37">
        <f t="shared" si="71"/>
        <v>3629</v>
      </c>
      <c r="AE37">
        <f t="shared" si="72"/>
        <v>3625</v>
      </c>
      <c r="AF37">
        <v>3621</v>
      </c>
      <c r="AG37">
        <f t="shared" si="73"/>
        <v>3594.5</v>
      </c>
      <c r="AH37">
        <f t="shared" si="74"/>
        <v>3568</v>
      </c>
      <c r="AI37">
        <f t="shared" si="75"/>
        <v>3541.5</v>
      </c>
      <c r="AJ37">
        <f t="shared" si="76"/>
        <v>3515</v>
      </c>
      <c r="AK37">
        <f t="shared" si="77"/>
        <v>3488.5</v>
      </c>
      <c r="AL37">
        <f t="shared" si="78"/>
        <v>3462</v>
      </c>
      <c r="AM37">
        <f t="shared" si="79"/>
        <v>3435.5</v>
      </c>
      <c r="AN37">
        <f t="shared" si="80"/>
        <v>3409</v>
      </c>
      <c r="AO37">
        <f t="shared" si="81"/>
        <v>3382.5</v>
      </c>
      <c r="AP37">
        <v>3356</v>
      </c>
      <c r="AQ37">
        <f t="shared" si="82"/>
        <v>3329.707612712491</v>
      </c>
      <c r="AR37">
        <f t="shared" si="83"/>
        <v>3303.6212116077227</v>
      </c>
      <c r="AS37">
        <f t="shared" si="84"/>
        <v>3277.7391828988971</v>
      </c>
      <c r="AT37">
        <f t="shared" si="85"/>
        <v>3252.0599254423355</v>
      </c>
      <c r="AU37">
        <f t="shared" si="86"/>
        <v>3226.5818506384271</v>
      </c>
      <c r="AV37">
        <f t="shared" si="87"/>
        <v>3201.3033823333517</v>
      </c>
      <c r="AW37">
        <f t="shared" si="88"/>
        <v>3176.2229567215754</v>
      </c>
      <c r="AX37">
        <f t="shared" si="89"/>
        <v>3151.339022249108</v>
      </c>
      <c r="AY37">
        <f t="shared" si="90"/>
        <v>3126.6500395175185</v>
      </c>
    </row>
    <row r="38" spans="1:51" x14ac:dyDescent="0.35">
      <c r="A38" t="s">
        <v>342</v>
      </c>
      <c r="B38">
        <v>49140</v>
      </c>
      <c r="C38">
        <f t="shared" si="46"/>
        <v>50613.3</v>
      </c>
      <c r="D38">
        <f t="shared" si="47"/>
        <v>52086.6</v>
      </c>
      <c r="E38">
        <f t="shared" si="48"/>
        <v>53559.9</v>
      </c>
      <c r="F38">
        <f t="shared" si="49"/>
        <v>55033.2</v>
      </c>
      <c r="G38">
        <f t="shared" si="50"/>
        <v>56506.5</v>
      </c>
      <c r="H38">
        <f t="shared" si="51"/>
        <v>57979.8</v>
      </c>
      <c r="I38">
        <f t="shared" si="52"/>
        <v>59453.1</v>
      </c>
      <c r="J38">
        <f t="shared" si="53"/>
        <v>60926.400000000001</v>
      </c>
      <c r="K38">
        <f t="shared" si="54"/>
        <v>62399.7</v>
      </c>
      <c r="L38">
        <v>63873</v>
      </c>
      <c r="M38">
        <f t="shared" si="55"/>
        <v>64226.2</v>
      </c>
      <c r="N38">
        <f t="shared" si="56"/>
        <v>64579.4</v>
      </c>
      <c r="O38">
        <f t="shared" si="57"/>
        <v>64932.6</v>
      </c>
      <c r="P38">
        <f t="shared" si="58"/>
        <v>65285.8</v>
      </c>
      <c r="Q38">
        <f t="shared" si="59"/>
        <v>65639</v>
      </c>
      <c r="R38">
        <f t="shared" si="60"/>
        <v>65992.2</v>
      </c>
      <c r="S38">
        <f t="shared" si="61"/>
        <v>66345.399999999994</v>
      </c>
      <c r="T38">
        <f t="shared" si="62"/>
        <v>66698.600000000006</v>
      </c>
      <c r="U38">
        <f t="shared" si="63"/>
        <v>67051.8</v>
      </c>
      <c r="V38">
        <v>67405</v>
      </c>
      <c r="W38">
        <f t="shared" si="64"/>
        <v>68050.7</v>
      </c>
      <c r="X38">
        <f t="shared" si="65"/>
        <v>68696.399999999994</v>
      </c>
      <c r="Y38">
        <f t="shared" si="66"/>
        <v>69342.100000000006</v>
      </c>
      <c r="Z38">
        <f t="shared" si="67"/>
        <v>69987.8</v>
      </c>
      <c r="AA38">
        <f t="shared" si="68"/>
        <v>70633.5</v>
      </c>
      <c r="AB38">
        <f t="shared" si="69"/>
        <v>71279.199999999997</v>
      </c>
      <c r="AC38">
        <f t="shared" si="70"/>
        <v>71924.899999999994</v>
      </c>
      <c r="AD38">
        <f t="shared" si="71"/>
        <v>72570.600000000006</v>
      </c>
      <c r="AE38">
        <f t="shared" si="72"/>
        <v>73216.3</v>
      </c>
      <c r="AF38">
        <v>73862</v>
      </c>
      <c r="AG38">
        <f t="shared" si="73"/>
        <v>74079</v>
      </c>
      <c r="AH38">
        <f t="shared" si="74"/>
        <v>74296</v>
      </c>
      <c r="AI38">
        <f t="shared" si="75"/>
        <v>74513</v>
      </c>
      <c r="AJ38">
        <f t="shared" si="76"/>
        <v>74730</v>
      </c>
      <c r="AK38">
        <f t="shared" si="77"/>
        <v>74947</v>
      </c>
      <c r="AL38">
        <f t="shared" si="78"/>
        <v>75164</v>
      </c>
      <c r="AM38">
        <f t="shared" si="79"/>
        <v>75381</v>
      </c>
      <c r="AN38">
        <f t="shared" si="80"/>
        <v>75598</v>
      </c>
      <c r="AO38">
        <f t="shared" si="81"/>
        <v>75815</v>
      </c>
      <c r="AP38">
        <v>76032</v>
      </c>
      <c r="AQ38">
        <f t="shared" si="82"/>
        <v>76249.621104003178</v>
      </c>
      <c r="AR38">
        <f t="shared" si="83"/>
        <v>76467.865089752289</v>
      </c>
      <c r="AS38">
        <f t="shared" si="84"/>
        <v>76686.733740078431</v>
      </c>
      <c r="AT38">
        <f t="shared" si="85"/>
        <v>76906.228842915574</v>
      </c>
      <c r="AU38">
        <f t="shared" si="86"/>
        <v>77126.352191315134</v>
      </c>
      <c r="AV38">
        <f t="shared" si="87"/>
        <v>77347.105583460696</v>
      </c>
      <c r="AW38">
        <f t="shared" si="88"/>
        <v>77568.490822682637</v>
      </c>
      <c r="AX38">
        <f t="shared" si="89"/>
        <v>77790.509717472887</v>
      </c>
      <c r="AY38">
        <f t="shared" si="90"/>
        <v>78013.164081499694</v>
      </c>
    </row>
    <row r="39" spans="1:51" x14ac:dyDescent="0.35">
      <c r="A39" t="s">
        <v>343</v>
      </c>
      <c r="B39">
        <v>9630</v>
      </c>
      <c r="C39">
        <f t="shared" si="46"/>
        <v>9956.9</v>
      </c>
      <c r="D39">
        <f t="shared" si="47"/>
        <v>10283.799999999999</v>
      </c>
      <c r="E39">
        <f t="shared" si="48"/>
        <v>10610.7</v>
      </c>
      <c r="F39">
        <f t="shared" si="49"/>
        <v>10937.6</v>
      </c>
      <c r="G39">
        <f t="shared" si="50"/>
        <v>11264.5</v>
      </c>
      <c r="H39">
        <f t="shared" si="51"/>
        <v>11591.4</v>
      </c>
      <c r="I39">
        <f t="shared" si="52"/>
        <v>11918.3</v>
      </c>
      <c r="J39">
        <f t="shared" si="53"/>
        <v>12245.2</v>
      </c>
      <c r="K39">
        <f t="shared" si="54"/>
        <v>12572.1</v>
      </c>
      <c r="L39">
        <v>12899</v>
      </c>
      <c r="M39">
        <f t="shared" si="55"/>
        <v>12991.4</v>
      </c>
      <c r="N39">
        <f t="shared" si="56"/>
        <v>13083.8</v>
      </c>
      <c r="O39">
        <f t="shared" si="57"/>
        <v>13176.2</v>
      </c>
      <c r="P39">
        <f t="shared" si="58"/>
        <v>13268.6</v>
      </c>
      <c r="Q39">
        <f t="shared" si="59"/>
        <v>13361</v>
      </c>
      <c r="R39">
        <f t="shared" si="60"/>
        <v>13453.4</v>
      </c>
      <c r="S39">
        <f t="shared" si="61"/>
        <v>13545.8</v>
      </c>
      <c r="T39">
        <f t="shared" si="62"/>
        <v>13638.2</v>
      </c>
      <c r="U39">
        <f t="shared" si="63"/>
        <v>13730.6</v>
      </c>
      <c r="V39">
        <v>13823</v>
      </c>
      <c r="W39">
        <f t="shared" si="64"/>
        <v>14067.4</v>
      </c>
      <c r="X39">
        <f t="shared" si="65"/>
        <v>14311.8</v>
      </c>
      <c r="Y39">
        <f t="shared" si="66"/>
        <v>14556.2</v>
      </c>
      <c r="Z39">
        <f t="shared" si="67"/>
        <v>14800.6</v>
      </c>
      <c r="AA39">
        <f t="shared" si="68"/>
        <v>15045</v>
      </c>
      <c r="AB39">
        <f t="shared" si="69"/>
        <v>15289.4</v>
      </c>
      <c r="AC39">
        <f t="shared" si="70"/>
        <v>15533.8</v>
      </c>
      <c r="AD39">
        <f t="shared" si="71"/>
        <v>15778.2</v>
      </c>
      <c r="AE39">
        <f t="shared" si="72"/>
        <v>16022.6</v>
      </c>
      <c r="AF39">
        <v>16267</v>
      </c>
      <c r="AG39">
        <f t="shared" si="73"/>
        <v>16892.099999999999</v>
      </c>
      <c r="AH39">
        <f t="shared" si="74"/>
        <v>17517.2</v>
      </c>
      <c r="AI39">
        <f t="shared" si="75"/>
        <v>18142.3</v>
      </c>
      <c r="AJ39">
        <f t="shared" si="76"/>
        <v>18767.400000000001</v>
      </c>
      <c r="AK39">
        <f t="shared" si="77"/>
        <v>19392.5</v>
      </c>
      <c r="AL39">
        <f t="shared" si="78"/>
        <v>20017.599999999999</v>
      </c>
      <c r="AM39">
        <f t="shared" si="79"/>
        <v>20642.7</v>
      </c>
      <c r="AN39">
        <f t="shared" si="80"/>
        <v>21267.8</v>
      </c>
      <c r="AO39">
        <f t="shared" si="81"/>
        <v>21892.9</v>
      </c>
      <c r="AP39">
        <v>22518</v>
      </c>
      <c r="AQ39">
        <f t="shared" si="82"/>
        <v>23160.948252629849</v>
      </c>
      <c r="AR39">
        <f t="shared" si="83"/>
        <v>23822.2543725463</v>
      </c>
      <c r="AS39">
        <f t="shared" si="84"/>
        <v>24502.442525247799</v>
      </c>
      <c r="AT39">
        <f t="shared" si="85"/>
        <v>25202.05184253936</v>
      </c>
      <c r="AU39">
        <f t="shared" si="86"/>
        <v>25921.63684986006</v>
      </c>
      <c r="AV39">
        <f t="shared" si="87"/>
        <v>26661.767905811877</v>
      </c>
      <c r="AW39">
        <f t="shared" si="88"/>
        <v>27423.031654238217</v>
      </c>
      <c r="AX39">
        <f t="shared" si="89"/>
        <v>28206.031489210483</v>
      </c>
      <c r="AY39">
        <f t="shared" si="90"/>
        <v>29011.388033291234</v>
      </c>
    </row>
    <row r="40" spans="1:51" x14ac:dyDescent="0.35">
      <c r="A40" t="s">
        <v>344</v>
      </c>
      <c r="B40">
        <v>4117</v>
      </c>
      <c r="C40">
        <f t="shared" si="46"/>
        <v>4304.3999999999996</v>
      </c>
      <c r="D40">
        <f t="shared" si="47"/>
        <v>4491.8</v>
      </c>
      <c r="E40">
        <f t="shared" si="48"/>
        <v>4679.2</v>
      </c>
      <c r="F40">
        <f t="shared" si="49"/>
        <v>4866.6000000000004</v>
      </c>
      <c r="G40">
        <f t="shared" si="50"/>
        <v>5054</v>
      </c>
      <c r="H40">
        <f t="shared" si="51"/>
        <v>5241.3999999999996</v>
      </c>
      <c r="I40">
        <f t="shared" si="52"/>
        <v>5428.8</v>
      </c>
      <c r="J40">
        <f t="shared" si="53"/>
        <v>5616.2</v>
      </c>
      <c r="K40">
        <f t="shared" si="54"/>
        <v>5803.6</v>
      </c>
      <c r="L40">
        <v>5991</v>
      </c>
      <c r="M40">
        <f t="shared" si="55"/>
        <v>6059.3</v>
      </c>
      <c r="N40">
        <f t="shared" si="56"/>
        <v>6127.6</v>
      </c>
      <c r="O40">
        <f t="shared" si="57"/>
        <v>6195.9</v>
      </c>
      <c r="P40">
        <f t="shared" si="58"/>
        <v>6264.2</v>
      </c>
      <c r="Q40">
        <f t="shared" si="59"/>
        <v>6332.5</v>
      </c>
      <c r="R40">
        <f t="shared" si="60"/>
        <v>6400.8</v>
      </c>
      <c r="S40">
        <f t="shared" si="61"/>
        <v>6469.1</v>
      </c>
      <c r="T40">
        <f t="shared" si="62"/>
        <v>6537.4</v>
      </c>
      <c r="U40">
        <f t="shared" si="63"/>
        <v>6605.7</v>
      </c>
      <c r="V40">
        <v>6674</v>
      </c>
      <c r="W40">
        <f t="shared" si="64"/>
        <v>6786.4</v>
      </c>
      <c r="X40">
        <f t="shared" si="65"/>
        <v>6898.8</v>
      </c>
      <c r="Y40">
        <f t="shared" si="66"/>
        <v>7011.2</v>
      </c>
      <c r="Z40">
        <f t="shared" si="67"/>
        <v>7123.6</v>
      </c>
      <c r="AA40">
        <f t="shared" si="68"/>
        <v>7236</v>
      </c>
      <c r="AB40">
        <f t="shared" si="69"/>
        <v>7348.4</v>
      </c>
      <c r="AC40">
        <f t="shared" si="70"/>
        <v>7460.8</v>
      </c>
      <c r="AD40">
        <f t="shared" si="71"/>
        <v>7573.2</v>
      </c>
      <c r="AE40">
        <f t="shared" si="72"/>
        <v>7685.6</v>
      </c>
      <c r="AF40">
        <v>7798</v>
      </c>
      <c r="AG40">
        <f t="shared" si="73"/>
        <v>7940</v>
      </c>
      <c r="AH40">
        <f t="shared" si="74"/>
        <v>8082</v>
      </c>
      <c r="AI40">
        <f t="shared" si="75"/>
        <v>8224</v>
      </c>
      <c r="AJ40">
        <f t="shared" si="76"/>
        <v>8366</v>
      </c>
      <c r="AK40">
        <f t="shared" si="77"/>
        <v>8508</v>
      </c>
      <c r="AL40">
        <f t="shared" si="78"/>
        <v>8650</v>
      </c>
      <c r="AM40">
        <f t="shared" si="79"/>
        <v>8792</v>
      </c>
      <c r="AN40">
        <f t="shared" si="80"/>
        <v>8934</v>
      </c>
      <c r="AO40">
        <f t="shared" si="81"/>
        <v>9076</v>
      </c>
      <c r="AP40">
        <v>9218</v>
      </c>
      <c r="AQ40">
        <f t="shared" si="82"/>
        <v>9362.2216835610398</v>
      </c>
      <c r="AR40">
        <f t="shared" si="83"/>
        <v>9508.6998103862552</v>
      </c>
      <c r="AS40">
        <f t="shared" si="84"/>
        <v>9657.4696840172419</v>
      </c>
      <c r="AT40">
        <f t="shared" si="85"/>
        <v>9808.5671603427636</v>
      </c>
      <c r="AU40">
        <f t="shared" si="86"/>
        <v>9962.028656240589</v>
      </c>
      <c r="AV40">
        <f t="shared" si="87"/>
        <v>10117.891158354532</v>
      </c>
      <c r="AW40">
        <f t="shared" si="88"/>
        <v>10276.192232008822</v>
      </c>
      <c r="AX40">
        <f t="shared" si="89"/>
        <v>10436.970030261933</v>
      </c>
      <c r="AY40">
        <f t="shared" si="90"/>
        <v>10600.263303102081</v>
      </c>
    </row>
    <row r="41" spans="1:51" x14ac:dyDescent="0.35">
      <c r="A41" t="s">
        <v>345</v>
      </c>
      <c r="B41">
        <v>33229</v>
      </c>
      <c r="C41">
        <f t="shared" si="46"/>
        <v>34571.1</v>
      </c>
      <c r="D41">
        <f t="shared" si="47"/>
        <v>35913.199999999997</v>
      </c>
      <c r="E41">
        <f t="shared" si="48"/>
        <v>37255.300000000003</v>
      </c>
      <c r="F41">
        <f t="shared" si="49"/>
        <v>38597.4</v>
      </c>
      <c r="G41">
        <f t="shared" si="50"/>
        <v>39939.5</v>
      </c>
      <c r="H41">
        <f t="shared" si="51"/>
        <v>41281.599999999999</v>
      </c>
      <c r="I41">
        <f t="shared" si="52"/>
        <v>42623.7</v>
      </c>
      <c r="J41">
        <f t="shared" si="53"/>
        <v>43965.8</v>
      </c>
      <c r="K41">
        <f t="shared" si="54"/>
        <v>45307.9</v>
      </c>
      <c r="L41">
        <v>46650</v>
      </c>
      <c r="M41">
        <f t="shared" si="55"/>
        <v>47185.1</v>
      </c>
      <c r="N41">
        <f t="shared" si="56"/>
        <v>47720.2</v>
      </c>
      <c r="O41">
        <f t="shared" si="57"/>
        <v>48255.3</v>
      </c>
      <c r="P41">
        <f t="shared" si="58"/>
        <v>48790.400000000001</v>
      </c>
      <c r="Q41">
        <f t="shared" si="59"/>
        <v>49325.5</v>
      </c>
      <c r="R41">
        <f t="shared" si="60"/>
        <v>49860.6</v>
      </c>
      <c r="S41">
        <f t="shared" si="61"/>
        <v>50395.7</v>
      </c>
      <c r="T41">
        <f t="shared" si="62"/>
        <v>50930.8</v>
      </c>
      <c r="U41">
        <f t="shared" si="63"/>
        <v>51465.9</v>
      </c>
      <c r="V41">
        <v>52001</v>
      </c>
      <c r="W41">
        <f t="shared" si="64"/>
        <v>52096.5</v>
      </c>
      <c r="X41">
        <f t="shared" si="65"/>
        <v>52192</v>
      </c>
      <c r="Y41">
        <f t="shared" si="66"/>
        <v>52287.5</v>
      </c>
      <c r="Z41">
        <f t="shared" si="67"/>
        <v>52383</v>
      </c>
      <c r="AA41">
        <f t="shared" si="68"/>
        <v>52478.5</v>
      </c>
      <c r="AB41">
        <f t="shared" si="69"/>
        <v>52574</v>
      </c>
      <c r="AC41">
        <f t="shared" si="70"/>
        <v>52669.5</v>
      </c>
      <c r="AD41">
        <f t="shared" si="71"/>
        <v>52765</v>
      </c>
      <c r="AE41">
        <f t="shared" si="72"/>
        <v>52860.5</v>
      </c>
      <c r="AF41">
        <v>52956</v>
      </c>
      <c r="AG41">
        <f t="shared" si="73"/>
        <v>53037</v>
      </c>
      <c r="AH41">
        <f t="shared" si="74"/>
        <v>53118</v>
      </c>
      <c r="AI41">
        <f t="shared" si="75"/>
        <v>53199</v>
      </c>
      <c r="AJ41">
        <f t="shared" si="76"/>
        <v>53280</v>
      </c>
      <c r="AK41">
        <f t="shared" si="77"/>
        <v>53361</v>
      </c>
      <c r="AL41">
        <f t="shared" si="78"/>
        <v>53442</v>
      </c>
      <c r="AM41">
        <f t="shared" si="79"/>
        <v>53523</v>
      </c>
      <c r="AN41">
        <f t="shared" si="80"/>
        <v>53604</v>
      </c>
      <c r="AO41">
        <f t="shared" si="81"/>
        <v>53685</v>
      </c>
      <c r="AP41">
        <v>53766</v>
      </c>
      <c r="AQ41">
        <f t="shared" si="82"/>
        <v>53847.122212908638</v>
      </c>
      <c r="AR41">
        <f t="shared" si="83"/>
        <v>53928.366823120909</v>
      </c>
      <c r="AS41">
        <f t="shared" si="84"/>
        <v>54009.73401531003</v>
      </c>
      <c r="AT41">
        <f t="shared" si="85"/>
        <v>54091.223974427856</v>
      </c>
      <c r="AU41">
        <f t="shared" si="86"/>
        <v>54172.836885705285</v>
      </c>
      <c r="AV41">
        <f t="shared" si="87"/>
        <v>54254.572934652708</v>
      </c>
      <c r="AW41">
        <f t="shared" si="88"/>
        <v>54336.4323070604</v>
      </c>
      <c r="AX41">
        <f t="shared" si="89"/>
        <v>54418.415188998973</v>
      </c>
      <c r="AY41">
        <f t="shared" si="90"/>
        <v>54500.521766819766</v>
      </c>
    </row>
    <row r="42" spans="1:51" x14ac:dyDescent="0.35">
      <c r="A42" t="s">
        <v>346</v>
      </c>
      <c r="B42">
        <v>5441</v>
      </c>
      <c r="C42">
        <f t="shared" si="46"/>
        <v>5441.3</v>
      </c>
      <c r="D42">
        <f t="shared" si="47"/>
        <v>5441.6</v>
      </c>
      <c r="E42">
        <f t="shared" si="48"/>
        <v>5441.9</v>
      </c>
      <c r="F42">
        <f t="shared" si="49"/>
        <v>5442.2</v>
      </c>
      <c r="G42">
        <f t="shared" si="50"/>
        <v>5442.5</v>
      </c>
      <c r="H42">
        <f t="shared" si="51"/>
        <v>5442.8</v>
      </c>
      <c r="I42">
        <f t="shared" si="52"/>
        <v>5443.1</v>
      </c>
      <c r="J42">
        <f t="shared" si="53"/>
        <v>5443.4</v>
      </c>
      <c r="K42">
        <f t="shared" si="54"/>
        <v>5443.7</v>
      </c>
      <c r="L42">
        <v>5444</v>
      </c>
      <c r="M42">
        <f t="shared" si="55"/>
        <v>5452.4</v>
      </c>
      <c r="N42">
        <f t="shared" si="56"/>
        <v>5460.8</v>
      </c>
      <c r="O42">
        <f t="shared" si="57"/>
        <v>5469.2</v>
      </c>
      <c r="P42">
        <f t="shared" si="58"/>
        <v>5477.6</v>
      </c>
      <c r="Q42">
        <f t="shared" si="59"/>
        <v>5486</v>
      </c>
      <c r="R42">
        <f t="shared" si="60"/>
        <v>5494.4</v>
      </c>
      <c r="S42">
        <f t="shared" si="61"/>
        <v>5502.8</v>
      </c>
      <c r="T42">
        <f t="shared" si="62"/>
        <v>5511.2</v>
      </c>
      <c r="U42">
        <f t="shared" si="63"/>
        <v>5519.6</v>
      </c>
      <c r="V42">
        <v>5528</v>
      </c>
      <c r="W42">
        <f t="shared" si="64"/>
        <v>5507.1</v>
      </c>
      <c r="X42">
        <f t="shared" si="65"/>
        <v>5486.2</v>
      </c>
      <c r="Y42">
        <f t="shared" si="66"/>
        <v>5465.3</v>
      </c>
      <c r="Z42">
        <f t="shared" si="67"/>
        <v>5444.4</v>
      </c>
      <c r="AA42">
        <f t="shared" si="68"/>
        <v>5423.5</v>
      </c>
      <c r="AB42">
        <f t="shared" si="69"/>
        <v>5402.6</v>
      </c>
      <c r="AC42">
        <f t="shared" si="70"/>
        <v>5381.7</v>
      </c>
      <c r="AD42">
        <f t="shared" si="71"/>
        <v>5360.8</v>
      </c>
      <c r="AE42">
        <f t="shared" si="72"/>
        <v>5339.9</v>
      </c>
      <c r="AF42">
        <v>5319</v>
      </c>
      <c r="AG42">
        <f t="shared" si="73"/>
        <v>5273.6</v>
      </c>
      <c r="AH42">
        <f t="shared" si="74"/>
        <v>5228.2</v>
      </c>
      <c r="AI42">
        <f t="shared" si="75"/>
        <v>5182.8</v>
      </c>
      <c r="AJ42">
        <f t="shared" si="76"/>
        <v>5137.3999999999996</v>
      </c>
      <c r="AK42">
        <f t="shared" si="77"/>
        <v>5092</v>
      </c>
      <c r="AL42">
        <f t="shared" si="78"/>
        <v>5046.6000000000004</v>
      </c>
      <c r="AM42">
        <f t="shared" si="79"/>
        <v>5001.2</v>
      </c>
      <c r="AN42">
        <f t="shared" si="80"/>
        <v>4955.8</v>
      </c>
      <c r="AO42">
        <f t="shared" si="81"/>
        <v>4910.3999999999996</v>
      </c>
      <c r="AP42">
        <v>4865</v>
      </c>
      <c r="AQ42">
        <f t="shared" si="82"/>
        <v>4820.019753991528</v>
      </c>
      <c r="AR42">
        <f t="shared" si="83"/>
        <v>4775.4553810623947</v>
      </c>
      <c r="AS42">
        <f t="shared" si="84"/>
        <v>4731.3030361820929</v>
      </c>
      <c r="AT42">
        <f t="shared" si="85"/>
        <v>4687.5589098700475</v>
      </c>
      <c r="AU42">
        <f t="shared" si="86"/>
        <v>4644.2192278669318</v>
      </c>
      <c r="AV42">
        <f t="shared" si="87"/>
        <v>4601.2802508090226</v>
      </c>
      <c r="AW42">
        <f t="shared" si="88"/>
        <v>4558.7382739055665</v>
      </c>
      <c r="AX42">
        <f t="shared" si="89"/>
        <v>4516.5896266191312</v>
      </c>
      <c r="AY42">
        <f t="shared" si="90"/>
        <v>4474.8306723489077</v>
      </c>
    </row>
    <row r="43" spans="1:51" x14ac:dyDescent="0.35">
      <c r="A43" t="s">
        <v>347</v>
      </c>
      <c r="B43">
        <v>5864</v>
      </c>
      <c r="C43">
        <f t="shared" si="46"/>
        <v>5925.5</v>
      </c>
      <c r="D43">
        <f t="shared" si="47"/>
        <v>5987</v>
      </c>
      <c r="E43">
        <f t="shared" si="48"/>
        <v>6048.5</v>
      </c>
      <c r="F43">
        <f t="shared" si="49"/>
        <v>6110</v>
      </c>
      <c r="G43">
        <f t="shared" si="50"/>
        <v>6171.5</v>
      </c>
      <c r="H43">
        <f t="shared" si="51"/>
        <v>6233</v>
      </c>
      <c r="I43">
        <f t="shared" si="52"/>
        <v>6294.5</v>
      </c>
      <c r="J43">
        <f t="shared" si="53"/>
        <v>6356</v>
      </c>
      <c r="K43">
        <f t="shared" si="54"/>
        <v>6417.5</v>
      </c>
      <c r="L43">
        <v>6479</v>
      </c>
      <c r="M43">
        <f t="shared" si="55"/>
        <v>6469.8</v>
      </c>
      <c r="N43">
        <f t="shared" si="56"/>
        <v>6460.6</v>
      </c>
      <c r="O43">
        <f t="shared" si="57"/>
        <v>6451.4</v>
      </c>
      <c r="P43">
        <f t="shared" si="58"/>
        <v>6442.2</v>
      </c>
      <c r="Q43">
        <f t="shared" si="59"/>
        <v>6433</v>
      </c>
      <c r="R43">
        <f t="shared" si="60"/>
        <v>6423.8</v>
      </c>
      <c r="S43">
        <f t="shared" si="61"/>
        <v>6414.6</v>
      </c>
      <c r="T43">
        <f t="shared" si="62"/>
        <v>6405.4</v>
      </c>
      <c r="U43">
        <f t="shared" si="63"/>
        <v>6396.2</v>
      </c>
      <c r="V43">
        <v>6387</v>
      </c>
      <c r="W43">
        <f t="shared" si="64"/>
        <v>6309.6</v>
      </c>
      <c r="X43">
        <f t="shared" si="65"/>
        <v>6232.2</v>
      </c>
      <c r="Y43">
        <f t="shared" si="66"/>
        <v>6154.8</v>
      </c>
      <c r="Z43">
        <f t="shared" si="67"/>
        <v>6077.4</v>
      </c>
      <c r="AA43">
        <f t="shared" si="68"/>
        <v>6000</v>
      </c>
      <c r="AB43">
        <f t="shared" si="69"/>
        <v>5922.6</v>
      </c>
      <c r="AC43">
        <f t="shared" si="70"/>
        <v>5845.2</v>
      </c>
      <c r="AD43">
        <f t="shared" si="71"/>
        <v>5767.8</v>
      </c>
      <c r="AE43">
        <f t="shared" si="72"/>
        <v>5690.4</v>
      </c>
      <c r="AF43">
        <v>5613</v>
      </c>
      <c r="AG43">
        <f t="shared" si="73"/>
        <v>5509.1</v>
      </c>
      <c r="AH43">
        <f t="shared" si="74"/>
        <v>5405.2</v>
      </c>
      <c r="AI43">
        <f t="shared" si="75"/>
        <v>5301.3</v>
      </c>
      <c r="AJ43">
        <f t="shared" si="76"/>
        <v>5197.3999999999996</v>
      </c>
      <c r="AK43">
        <f t="shared" si="77"/>
        <v>5093.5</v>
      </c>
      <c r="AL43">
        <f t="shared" si="78"/>
        <v>4989.6000000000004</v>
      </c>
      <c r="AM43">
        <f t="shared" si="79"/>
        <v>4885.7</v>
      </c>
      <c r="AN43">
        <f t="shared" si="80"/>
        <v>4781.8</v>
      </c>
      <c r="AO43">
        <f t="shared" si="81"/>
        <v>4677.8999999999996</v>
      </c>
      <c r="AP43">
        <v>4574</v>
      </c>
      <c r="AQ43">
        <f t="shared" si="82"/>
        <v>4472.4077043117641</v>
      </c>
      <c r="AR43">
        <f t="shared" si="83"/>
        <v>4373.0718569276833</v>
      </c>
      <c r="AS43">
        <f t="shared" si="84"/>
        <v>4275.942340278164</v>
      </c>
      <c r="AT43">
        <f t="shared" si="85"/>
        <v>4180.9701499459843</v>
      </c>
      <c r="AU43">
        <f t="shared" si="86"/>
        <v>4088.1073699422668</v>
      </c>
      <c r="AV43">
        <f t="shared" si="87"/>
        <v>3997.3071485315904</v>
      </c>
      <c r="AW43">
        <f t="shared" si="88"/>
        <v>3908.523674594047</v>
      </c>
      <c r="AX43">
        <f t="shared" si="89"/>
        <v>3821.7121545123173</v>
      </c>
      <c r="AY43">
        <f t="shared" si="90"/>
        <v>3736.8287895721023</v>
      </c>
    </row>
    <row r="44" spans="1:51" x14ac:dyDescent="0.35">
      <c r="A44" t="s">
        <v>348</v>
      </c>
      <c r="B44">
        <v>8041</v>
      </c>
      <c r="C44">
        <f t="shared" si="46"/>
        <v>8655.5</v>
      </c>
      <c r="D44">
        <f t="shared" si="47"/>
        <v>9270</v>
      </c>
      <c r="E44">
        <f t="shared" si="48"/>
        <v>9884.5</v>
      </c>
      <c r="F44">
        <f t="shared" si="49"/>
        <v>10499</v>
      </c>
      <c r="G44">
        <f t="shared" si="50"/>
        <v>11113.5</v>
      </c>
      <c r="H44">
        <f t="shared" si="51"/>
        <v>11728</v>
      </c>
      <c r="I44">
        <f t="shared" si="52"/>
        <v>12342.5</v>
      </c>
      <c r="J44">
        <f t="shared" si="53"/>
        <v>12957</v>
      </c>
      <c r="K44">
        <f t="shared" si="54"/>
        <v>13571.5</v>
      </c>
      <c r="L44">
        <v>14186</v>
      </c>
      <c r="M44">
        <f t="shared" si="55"/>
        <v>14513.2</v>
      </c>
      <c r="N44">
        <f t="shared" si="56"/>
        <v>14840.4</v>
      </c>
      <c r="O44">
        <f t="shared" si="57"/>
        <v>15167.6</v>
      </c>
      <c r="P44">
        <f t="shared" si="58"/>
        <v>15494.8</v>
      </c>
      <c r="Q44">
        <f t="shared" si="59"/>
        <v>15822</v>
      </c>
      <c r="R44">
        <f t="shared" si="60"/>
        <v>16149.2</v>
      </c>
      <c r="S44">
        <f t="shared" si="61"/>
        <v>16476.400000000001</v>
      </c>
      <c r="T44">
        <f t="shared" si="62"/>
        <v>16803.599999999999</v>
      </c>
      <c r="U44">
        <f t="shared" si="63"/>
        <v>17130.8</v>
      </c>
      <c r="V44">
        <v>17458</v>
      </c>
      <c r="W44">
        <f t="shared" si="64"/>
        <v>17816.599999999999</v>
      </c>
      <c r="X44">
        <f t="shared" si="65"/>
        <v>18175.2</v>
      </c>
      <c r="Y44">
        <f t="shared" si="66"/>
        <v>18533.8</v>
      </c>
      <c r="Z44">
        <f t="shared" si="67"/>
        <v>18892.400000000001</v>
      </c>
      <c r="AA44">
        <f t="shared" si="68"/>
        <v>19251</v>
      </c>
      <c r="AB44">
        <f t="shared" si="69"/>
        <v>19609.599999999999</v>
      </c>
      <c r="AC44">
        <f t="shared" si="70"/>
        <v>19968.2</v>
      </c>
      <c r="AD44">
        <f t="shared" si="71"/>
        <v>20326.8</v>
      </c>
      <c r="AE44">
        <f t="shared" si="72"/>
        <v>20685.400000000001</v>
      </c>
      <c r="AF44">
        <v>21044</v>
      </c>
      <c r="AG44">
        <f t="shared" si="73"/>
        <v>21068.7</v>
      </c>
      <c r="AH44">
        <f t="shared" si="74"/>
        <v>21093.4</v>
      </c>
      <c r="AI44">
        <f t="shared" si="75"/>
        <v>21118.1</v>
      </c>
      <c r="AJ44">
        <f t="shared" si="76"/>
        <v>21142.799999999999</v>
      </c>
      <c r="AK44">
        <f t="shared" si="77"/>
        <v>21167.5</v>
      </c>
      <c r="AL44">
        <f t="shared" si="78"/>
        <v>21192.2</v>
      </c>
      <c r="AM44">
        <f t="shared" si="79"/>
        <v>21216.9</v>
      </c>
      <c r="AN44">
        <f t="shared" si="80"/>
        <v>21241.599999999999</v>
      </c>
      <c r="AO44">
        <f t="shared" si="81"/>
        <v>21266.3</v>
      </c>
      <c r="AP44">
        <v>21291</v>
      </c>
      <c r="AQ44">
        <f t="shared" si="82"/>
        <v>21315.728688112176</v>
      </c>
      <c r="AR44">
        <f t="shared" si="83"/>
        <v>21340.486097656685</v>
      </c>
      <c r="AS44">
        <f t="shared" si="84"/>
        <v>21365.272261992377</v>
      </c>
      <c r="AT44">
        <f t="shared" si="85"/>
        <v>21390.087214516851</v>
      </c>
      <c r="AU44">
        <f t="shared" si="86"/>
        <v>21414.930988666496</v>
      </c>
      <c r="AV44">
        <f t="shared" si="87"/>
        <v>21439.803617916532</v>
      </c>
      <c r="AW44">
        <f t="shared" si="88"/>
        <v>21464.705135781067</v>
      </c>
      <c r="AX44">
        <f t="shared" si="89"/>
        <v>21489.635575813129</v>
      </c>
      <c r="AY44">
        <f t="shared" si="90"/>
        <v>21514.594971604714</v>
      </c>
    </row>
    <row r="45" spans="1:51" x14ac:dyDescent="0.35">
      <c r="A45" t="s">
        <v>349</v>
      </c>
      <c r="B45">
        <v>33167</v>
      </c>
      <c r="C45">
        <f t="shared" si="46"/>
        <v>34903.4</v>
      </c>
      <c r="D45">
        <f t="shared" si="47"/>
        <v>36639.800000000003</v>
      </c>
      <c r="E45">
        <f t="shared" si="48"/>
        <v>38376.199999999997</v>
      </c>
      <c r="F45">
        <f t="shared" si="49"/>
        <v>40112.6</v>
      </c>
      <c r="G45">
        <f t="shared" si="50"/>
        <v>41849</v>
      </c>
      <c r="H45">
        <f t="shared" si="51"/>
        <v>43585.4</v>
      </c>
      <c r="I45">
        <f t="shared" si="52"/>
        <v>45321.8</v>
      </c>
      <c r="J45">
        <f t="shared" si="53"/>
        <v>47058.2</v>
      </c>
      <c r="K45">
        <f t="shared" si="54"/>
        <v>48794.6</v>
      </c>
      <c r="L45">
        <v>50531</v>
      </c>
      <c r="M45">
        <f t="shared" si="55"/>
        <v>51714.9</v>
      </c>
      <c r="N45">
        <f t="shared" si="56"/>
        <v>52898.8</v>
      </c>
      <c r="O45">
        <f t="shared" si="57"/>
        <v>54082.7</v>
      </c>
      <c r="P45">
        <f t="shared" si="58"/>
        <v>55266.6</v>
      </c>
      <c r="Q45">
        <f t="shared" si="59"/>
        <v>56450.5</v>
      </c>
      <c r="R45">
        <f t="shared" si="60"/>
        <v>57634.400000000001</v>
      </c>
      <c r="S45">
        <f t="shared" si="61"/>
        <v>58818.3</v>
      </c>
      <c r="T45">
        <f t="shared" si="62"/>
        <v>60002.2</v>
      </c>
      <c r="U45">
        <f t="shared" si="63"/>
        <v>61186.1</v>
      </c>
      <c r="V45">
        <v>62370</v>
      </c>
      <c r="W45">
        <f t="shared" si="64"/>
        <v>64416.2</v>
      </c>
      <c r="X45">
        <f t="shared" si="65"/>
        <v>66462.399999999994</v>
      </c>
      <c r="Y45">
        <f t="shared" si="66"/>
        <v>68508.600000000006</v>
      </c>
      <c r="Z45">
        <f t="shared" si="67"/>
        <v>70554.8</v>
      </c>
      <c r="AA45">
        <f t="shared" si="68"/>
        <v>72601</v>
      </c>
      <c r="AB45">
        <f t="shared" si="69"/>
        <v>74647.199999999997</v>
      </c>
      <c r="AC45">
        <f t="shared" si="70"/>
        <v>76693.399999999994</v>
      </c>
      <c r="AD45">
        <f t="shared" si="71"/>
        <v>78739.600000000006</v>
      </c>
      <c r="AE45">
        <f t="shared" si="72"/>
        <v>80785.8</v>
      </c>
      <c r="AF45">
        <v>82832</v>
      </c>
      <c r="AG45">
        <f t="shared" si="73"/>
        <v>85437</v>
      </c>
      <c r="AH45">
        <f t="shared" si="74"/>
        <v>88042</v>
      </c>
      <c r="AI45">
        <f t="shared" si="75"/>
        <v>90647</v>
      </c>
      <c r="AJ45">
        <f t="shared" si="76"/>
        <v>93252</v>
      </c>
      <c r="AK45">
        <f t="shared" si="77"/>
        <v>95857</v>
      </c>
      <c r="AL45">
        <f t="shared" si="78"/>
        <v>98462</v>
      </c>
      <c r="AM45">
        <f t="shared" si="79"/>
        <v>101067</v>
      </c>
      <c r="AN45">
        <f t="shared" si="80"/>
        <v>103672</v>
      </c>
      <c r="AO45">
        <f t="shared" si="81"/>
        <v>106277</v>
      </c>
      <c r="AP45">
        <v>108882</v>
      </c>
      <c r="AQ45">
        <f t="shared" si="82"/>
        <v>111550.85224460607</v>
      </c>
      <c r="AR45">
        <f t="shared" si="83"/>
        <v>114285.12184289354</v>
      </c>
      <c r="AS45">
        <f t="shared" si="84"/>
        <v>117086.41226698094</v>
      </c>
      <c r="AT45">
        <f t="shared" si="85"/>
        <v>119956.36629236258</v>
      </c>
      <c r="AU45">
        <f t="shared" si="86"/>
        <v>122896.66696129004</v>
      </c>
      <c r="AV45">
        <f t="shared" si="87"/>
        <v>125909.03856976751</v>
      </c>
      <c r="AW45">
        <f t="shared" si="88"/>
        <v>128995.24767873975</v>
      </c>
      <c r="AX45">
        <f t="shared" si="89"/>
        <v>132157.10415006577</v>
      </c>
      <c r="AY45">
        <f t="shared" si="90"/>
        <v>135396.46220788563</v>
      </c>
    </row>
    <row r="46" spans="1:51" x14ac:dyDescent="0.35">
      <c r="A46" t="s">
        <v>350</v>
      </c>
      <c r="B46">
        <v>3212</v>
      </c>
      <c r="C46">
        <f t="shared" si="46"/>
        <v>3211</v>
      </c>
      <c r="D46">
        <f t="shared" si="47"/>
        <v>3210</v>
      </c>
      <c r="E46">
        <f t="shared" si="48"/>
        <v>3209</v>
      </c>
      <c r="F46">
        <f t="shared" si="49"/>
        <v>3208</v>
      </c>
      <c r="G46">
        <f t="shared" si="50"/>
        <v>3207</v>
      </c>
      <c r="H46">
        <f t="shared" si="51"/>
        <v>3206</v>
      </c>
      <c r="I46">
        <f t="shared" si="52"/>
        <v>3205</v>
      </c>
      <c r="J46">
        <f t="shared" si="53"/>
        <v>3204</v>
      </c>
      <c r="K46">
        <f t="shared" si="54"/>
        <v>3203</v>
      </c>
      <c r="L46">
        <v>3202</v>
      </c>
      <c r="M46">
        <f t="shared" si="55"/>
        <v>3232.8</v>
      </c>
      <c r="N46">
        <f t="shared" si="56"/>
        <v>3263.6</v>
      </c>
      <c r="O46">
        <f t="shared" si="57"/>
        <v>3294.4</v>
      </c>
      <c r="P46">
        <f t="shared" si="58"/>
        <v>3325.2</v>
      </c>
      <c r="Q46">
        <f t="shared" si="59"/>
        <v>3356</v>
      </c>
      <c r="R46">
        <f t="shared" si="60"/>
        <v>3386.8</v>
      </c>
      <c r="S46">
        <f t="shared" si="61"/>
        <v>3417.6</v>
      </c>
      <c r="T46">
        <f t="shared" si="62"/>
        <v>3448.4</v>
      </c>
      <c r="U46">
        <f t="shared" si="63"/>
        <v>3479.2</v>
      </c>
      <c r="V46">
        <v>3510</v>
      </c>
      <c r="W46">
        <f t="shared" si="64"/>
        <v>3506.2</v>
      </c>
      <c r="X46">
        <f t="shared" si="65"/>
        <v>3502.4</v>
      </c>
      <c r="Y46">
        <f t="shared" si="66"/>
        <v>3498.6</v>
      </c>
      <c r="Z46">
        <f t="shared" si="67"/>
        <v>3494.8</v>
      </c>
      <c r="AA46">
        <f t="shared" si="68"/>
        <v>3491</v>
      </c>
      <c r="AB46">
        <f t="shared" si="69"/>
        <v>3487.2</v>
      </c>
      <c r="AC46">
        <f t="shared" si="70"/>
        <v>3483.4</v>
      </c>
      <c r="AD46">
        <f t="shared" si="71"/>
        <v>3479.6</v>
      </c>
      <c r="AE46">
        <f t="shared" si="72"/>
        <v>3475.8</v>
      </c>
      <c r="AF46">
        <v>3472</v>
      </c>
      <c r="AG46">
        <f t="shared" si="73"/>
        <v>3462</v>
      </c>
      <c r="AH46">
        <f t="shared" si="74"/>
        <v>3452</v>
      </c>
      <c r="AI46">
        <f t="shared" si="75"/>
        <v>3442</v>
      </c>
      <c r="AJ46">
        <f t="shared" si="76"/>
        <v>3432</v>
      </c>
      <c r="AK46">
        <f t="shared" si="77"/>
        <v>3422</v>
      </c>
      <c r="AL46">
        <f t="shared" si="78"/>
        <v>3412</v>
      </c>
      <c r="AM46">
        <f t="shared" si="79"/>
        <v>3402</v>
      </c>
      <c r="AN46">
        <f t="shared" si="80"/>
        <v>3392</v>
      </c>
      <c r="AO46">
        <f t="shared" si="81"/>
        <v>3382</v>
      </c>
      <c r="AP46">
        <v>3372</v>
      </c>
      <c r="AQ46">
        <f t="shared" si="82"/>
        <v>3362.0295683027794</v>
      </c>
      <c r="AR46">
        <f t="shared" si="83"/>
        <v>3352.0886174798852</v>
      </c>
      <c r="AS46">
        <f t="shared" si="84"/>
        <v>3342.1770603613759</v>
      </c>
      <c r="AT46">
        <f t="shared" si="85"/>
        <v>3332.2948100350559</v>
      </c>
      <c r="AU46">
        <f t="shared" si="86"/>
        <v>3322.4417798457148</v>
      </c>
      <c r="AV46">
        <f t="shared" si="87"/>
        <v>3312.6178833943668</v>
      </c>
      <c r="AW46">
        <f t="shared" si="88"/>
        <v>3302.8230345374932</v>
      </c>
      <c r="AX46">
        <f t="shared" si="89"/>
        <v>3293.0571473862874</v>
      </c>
      <c r="AY46">
        <f t="shared" si="90"/>
        <v>3283.3201363059011</v>
      </c>
    </row>
    <row r="47" spans="1:51" x14ac:dyDescent="0.35">
      <c r="A47" t="s">
        <v>351</v>
      </c>
      <c r="B47">
        <v>6719</v>
      </c>
      <c r="C47">
        <f t="shared" si="46"/>
        <v>6809</v>
      </c>
      <c r="D47">
        <f t="shared" si="47"/>
        <v>6899</v>
      </c>
      <c r="E47">
        <f t="shared" si="48"/>
        <v>6989</v>
      </c>
      <c r="F47">
        <f t="shared" si="49"/>
        <v>7079</v>
      </c>
      <c r="G47">
        <f t="shared" si="50"/>
        <v>7169</v>
      </c>
      <c r="H47">
        <f t="shared" si="51"/>
        <v>7259</v>
      </c>
      <c r="I47">
        <f t="shared" si="52"/>
        <v>7349</v>
      </c>
      <c r="J47">
        <f t="shared" si="53"/>
        <v>7439</v>
      </c>
      <c r="K47">
        <f t="shared" si="54"/>
        <v>7529</v>
      </c>
      <c r="L47">
        <v>7619</v>
      </c>
      <c r="M47">
        <f t="shared" si="55"/>
        <v>7666.7</v>
      </c>
      <c r="N47">
        <f t="shared" si="56"/>
        <v>7714.4</v>
      </c>
      <c r="O47">
        <f t="shared" si="57"/>
        <v>7762.1</v>
      </c>
      <c r="P47">
        <f t="shared" si="58"/>
        <v>7809.8</v>
      </c>
      <c r="Q47">
        <f t="shared" si="59"/>
        <v>7857.5</v>
      </c>
      <c r="R47">
        <f t="shared" si="60"/>
        <v>7905.2</v>
      </c>
      <c r="S47">
        <f t="shared" si="61"/>
        <v>7952.9</v>
      </c>
      <c r="T47">
        <f t="shared" si="62"/>
        <v>8000.6</v>
      </c>
      <c r="U47">
        <f t="shared" si="63"/>
        <v>8048.3</v>
      </c>
      <c r="V47">
        <v>8096</v>
      </c>
      <c r="W47">
        <f t="shared" si="64"/>
        <v>8163.1</v>
      </c>
      <c r="X47">
        <f t="shared" si="65"/>
        <v>8230.2000000000007</v>
      </c>
      <c r="Y47">
        <f t="shared" si="66"/>
        <v>8297.2999999999993</v>
      </c>
      <c r="Z47">
        <f t="shared" si="67"/>
        <v>8364.4</v>
      </c>
      <c r="AA47">
        <f t="shared" si="68"/>
        <v>8431.5</v>
      </c>
      <c r="AB47">
        <f t="shared" si="69"/>
        <v>8498.6</v>
      </c>
      <c r="AC47">
        <f t="shared" si="70"/>
        <v>8565.7000000000007</v>
      </c>
      <c r="AD47">
        <f t="shared" si="71"/>
        <v>8632.7999999999993</v>
      </c>
      <c r="AE47">
        <f t="shared" si="72"/>
        <v>8699.9</v>
      </c>
      <c r="AF47">
        <v>8767</v>
      </c>
      <c r="AG47">
        <f t="shared" si="73"/>
        <v>8813.2000000000007</v>
      </c>
      <c r="AH47">
        <f t="shared" si="74"/>
        <v>8859.4</v>
      </c>
      <c r="AI47">
        <f t="shared" si="75"/>
        <v>8905.6</v>
      </c>
      <c r="AJ47">
        <f t="shared" si="76"/>
        <v>8951.7999999999993</v>
      </c>
      <c r="AK47">
        <f t="shared" si="77"/>
        <v>8998</v>
      </c>
      <c r="AL47">
        <f t="shared" si="78"/>
        <v>9044.2000000000007</v>
      </c>
      <c r="AM47">
        <f t="shared" si="79"/>
        <v>9090.4</v>
      </c>
      <c r="AN47">
        <f t="shared" si="80"/>
        <v>9136.6</v>
      </c>
      <c r="AO47">
        <f t="shared" si="81"/>
        <v>9182.7999999999993</v>
      </c>
      <c r="AP47">
        <v>9229</v>
      </c>
      <c r="AQ47">
        <f t="shared" si="82"/>
        <v>9275.4324389075227</v>
      </c>
      <c r="AR47">
        <f t="shared" si="83"/>
        <v>9322.0984861564593</v>
      </c>
      <c r="AS47">
        <f t="shared" si="84"/>
        <v>9368.9993170642902</v>
      </c>
      <c r="AT47">
        <f t="shared" si="85"/>
        <v>9416.1361128616918</v>
      </c>
      <c r="AU47">
        <f t="shared" si="86"/>
        <v>9463.5100607222794</v>
      </c>
      <c r="AV47">
        <f t="shared" si="87"/>
        <v>9511.1223537925162</v>
      </c>
      <c r="AW47">
        <f t="shared" si="88"/>
        <v>9558.974191221756</v>
      </c>
      <c r="AX47">
        <f t="shared" si="89"/>
        <v>9607.0667781924458</v>
      </c>
      <c r="AY47">
        <f t="shared" si="90"/>
        <v>9655.4013259504809</v>
      </c>
    </row>
    <row r="48" spans="1:51" x14ac:dyDescent="0.35">
      <c r="A48" t="s">
        <v>352</v>
      </c>
      <c r="B48">
        <v>4825</v>
      </c>
      <c r="C48">
        <f t="shared" si="46"/>
        <v>4826.5</v>
      </c>
      <c r="D48">
        <f t="shared" si="47"/>
        <v>4828</v>
      </c>
      <c r="E48">
        <f t="shared" si="48"/>
        <v>4829.5</v>
      </c>
      <c r="F48">
        <f t="shared" si="49"/>
        <v>4831</v>
      </c>
      <c r="G48">
        <f t="shared" si="50"/>
        <v>4832.5</v>
      </c>
      <c r="H48">
        <f t="shared" si="51"/>
        <v>4834</v>
      </c>
      <c r="I48">
        <f t="shared" si="52"/>
        <v>4835.5</v>
      </c>
      <c r="J48">
        <f t="shared" si="53"/>
        <v>4837</v>
      </c>
      <c r="K48">
        <f t="shared" si="54"/>
        <v>4838.5</v>
      </c>
      <c r="L48">
        <v>4840</v>
      </c>
      <c r="M48">
        <f t="shared" si="55"/>
        <v>4808.1000000000004</v>
      </c>
      <c r="N48">
        <f t="shared" si="56"/>
        <v>4776.2</v>
      </c>
      <c r="O48">
        <f t="shared" si="57"/>
        <v>4744.3</v>
      </c>
      <c r="P48">
        <f t="shared" si="58"/>
        <v>4712.3999999999996</v>
      </c>
      <c r="Q48">
        <f t="shared" si="59"/>
        <v>4680.5</v>
      </c>
      <c r="R48">
        <f t="shared" si="60"/>
        <v>4648.6000000000004</v>
      </c>
      <c r="S48">
        <f t="shared" si="61"/>
        <v>4616.7</v>
      </c>
      <c r="T48">
        <f t="shared" si="62"/>
        <v>4584.8</v>
      </c>
      <c r="U48">
        <f t="shared" si="63"/>
        <v>4552.8999999999996</v>
      </c>
      <c r="V48">
        <v>4521</v>
      </c>
      <c r="W48">
        <f t="shared" si="64"/>
        <v>4498.8</v>
      </c>
      <c r="X48">
        <f t="shared" si="65"/>
        <v>4476.6000000000004</v>
      </c>
      <c r="Y48">
        <f t="shared" si="66"/>
        <v>4454.3999999999996</v>
      </c>
      <c r="Z48">
        <f t="shared" si="67"/>
        <v>4432.2</v>
      </c>
      <c r="AA48">
        <f t="shared" si="68"/>
        <v>4410</v>
      </c>
      <c r="AB48">
        <f t="shared" si="69"/>
        <v>4387.8</v>
      </c>
      <c r="AC48">
        <f t="shared" si="70"/>
        <v>4365.6000000000004</v>
      </c>
      <c r="AD48">
        <f t="shared" si="71"/>
        <v>4343.3999999999996</v>
      </c>
      <c r="AE48">
        <f t="shared" si="72"/>
        <v>4321.2</v>
      </c>
      <c r="AF48">
        <v>4299</v>
      </c>
      <c r="AG48">
        <f t="shared" si="73"/>
        <v>4257.6000000000004</v>
      </c>
      <c r="AH48">
        <f t="shared" si="74"/>
        <v>4216.2</v>
      </c>
      <c r="AI48">
        <f t="shared" si="75"/>
        <v>4174.8</v>
      </c>
      <c r="AJ48">
        <f t="shared" si="76"/>
        <v>4133.3999999999996</v>
      </c>
      <c r="AK48">
        <f t="shared" si="77"/>
        <v>4092</v>
      </c>
      <c r="AL48">
        <f t="shared" si="78"/>
        <v>4050.6</v>
      </c>
      <c r="AM48">
        <f t="shared" si="79"/>
        <v>4009.2</v>
      </c>
      <c r="AN48">
        <f t="shared" si="80"/>
        <v>3967.8</v>
      </c>
      <c r="AO48">
        <f t="shared" si="81"/>
        <v>3926.4</v>
      </c>
      <c r="AP48">
        <v>3885</v>
      </c>
      <c r="AQ48">
        <f t="shared" si="82"/>
        <v>3844.0365220048902</v>
      </c>
      <c r="AR48">
        <f t="shared" si="83"/>
        <v>3803.5049633223816</v>
      </c>
      <c r="AS48">
        <f t="shared" si="84"/>
        <v>3763.4007697910179</v>
      </c>
      <c r="AT48">
        <f t="shared" si="85"/>
        <v>3723.719435268466</v>
      </c>
      <c r="AU48">
        <f t="shared" si="86"/>
        <v>3684.4565011252016</v>
      </c>
      <c r="AV48">
        <f t="shared" si="87"/>
        <v>3645.6075557435333</v>
      </c>
      <c r="AW48">
        <f t="shared" si="88"/>
        <v>3607.1682340219099</v>
      </c>
      <c r="AX48">
        <f t="shared" si="89"/>
        <v>3569.134216884454</v>
      </c>
      <c r="AY48">
        <f t="shared" si="90"/>
        <v>3531.5012307956663</v>
      </c>
    </row>
    <row r="49" spans="1:51" x14ac:dyDescent="0.35">
      <c r="A49" t="s">
        <v>353</v>
      </c>
      <c r="B49">
        <v>2703</v>
      </c>
      <c r="C49">
        <f t="shared" si="46"/>
        <v>2803.8</v>
      </c>
      <c r="D49">
        <f t="shared" si="47"/>
        <v>2904.6</v>
      </c>
      <c r="E49">
        <f t="shared" si="48"/>
        <v>3005.4</v>
      </c>
      <c r="F49">
        <f t="shared" si="49"/>
        <v>3106.2</v>
      </c>
      <c r="G49">
        <f t="shared" si="50"/>
        <v>3207</v>
      </c>
      <c r="H49">
        <f t="shared" si="51"/>
        <v>3307.8</v>
      </c>
      <c r="I49">
        <f t="shared" si="52"/>
        <v>3408.6</v>
      </c>
      <c r="J49">
        <f t="shared" si="53"/>
        <v>3509.4</v>
      </c>
      <c r="K49">
        <f t="shared" si="54"/>
        <v>3610.2</v>
      </c>
      <c r="L49">
        <v>3711</v>
      </c>
      <c r="M49">
        <f t="shared" si="55"/>
        <v>3731.8</v>
      </c>
      <c r="N49">
        <f t="shared" si="56"/>
        <v>3752.6</v>
      </c>
      <c r="O49">
        <f t="shared" si="57"/>
        <v>3773.4</v>
      </c>
      <c r="P49">
        <f t="shared" si="58"/>
        <v>3794.2</v>
      </c>
      <c r="Q49">
        <f t="shared" si="59"/>
        <v>3815</v>
      </c>
      <c r="R49">
        <f t="shared" si="60"/>
        <v>3835.8</v>
      </c>
      <c r="S49">
        <f t="shared" si="61"/>
        <v>3856.6</v>
      </c>
      <c r="T49">
        <f t="shared" si="62"/>
        <v>3877.4</v>
      </c>
      <c r="U49">
        <f t="shared" si="63"/>
        <v>3898.2</v>
      </c>
      <c r="V49">
        <v>3919</v>
      </c>
      <c r="W49">
        <f t="shared" si="64"/>
        <v>3915</v>
      </c>
      <c r="X49">
        <f t="shared" si="65"/>
        <v>3911</v>
      </c>
      <c r="Y49">
        <f t="shared" si="66"/>
        <v>3907</v>
      </c>
      <c r="Z49">
        <f t="shared" si="67"/>
        <v>3903</v>
      </c>
      <c r="AA49">
        <f t="shared" si="68"/>
        <v>3899</v>
      </c>
      <c r="AB49">
        <f t="shared" si="69"/>
        <v>3895</v>
      </c>
      <c r="AC49">
        <f t="shared" si="70"/>
        <v>3891</v>
      </c>
      <c r="AD49">
        <f t="shared" si="71"/>
        <v>3887</v>
      </c>
      <c r="AE49">
        <f t="shared" si="72"/>
        <v>3883</v>
      </c>
      <c r="AF49">
        <v>3879</v>
      </c>
      <c r="AG49">
        <f t="shared" si="73"/>
        <v>3883</v>
      </c>
      <c r="AH49">
        <f t="shared" si="74"/>
        <v>3887</v>
      </c>
      <c r="AI49">
        <f t="shared" si="75"/>
        <v>3891</v>
      </c>
      <c r="AJ49">
        <f t="shared" si="76"/>
        <v>3895</v>
      </c>
      <c r="AK49">
        <f t="shared" si="77"/>
        <v>3899</v>
      </c>
      <c r="AL49">
        <f t="shared" si="78"/>
        <v>3903</v>
      </c>
      <c r="AM49">
        <f t="shared" si="79"/>
        <v>3907</v>
      </c>
      <c r="AN49">
        <f t="shared" si="80"/>
        <v>3911</v>
      </c>
      <c r="AO49">
        <f t="shared" si="81"/>
        <v>3915</v>
      </c>
      <c r="AP49">
        <v>3919</v>
      </c>
      <c r="AQ49">
        <f t="shared" si="82"/>
        <v>3923.0040868454662</v>
      </c>
      <c r="AR49">
        <f t="shared" si="83"/>
        <v>3927.0122647119751</v>
      </c>
      <c r="AS49">
        <f t="shared" si="84"/>
        <v>3931.0245377793694</v>
      </c>
      <c r="AT49">
        <f t="shared" si="85"/>
        <v>3935.0409102317622</v>
      </c>
      <c r="AU49">
        <f t="shared" si="86"/>
        <v>3939.0613862575419</v>
      </c>
      <c r="AV49">
        <f t="shared" si="87"/>
        <v>3943.0859700493761</v>
      </c>
      <c r="AW49">
        <f t="shared" si="88"/>
        <v>3947.1146658042157</v>
      </c>
      <c r="AX49">
        <f t="shared" si="89"/>
        <v>3951.1474777233007</v>
      </c>
      <c r="AY49">
        <f t="shared" si="90"/>
        <v>3955.1844100121621</v>
      </c>
    </row>
    <row r="50" spans="1:51" x14ac:dyDescent="0.35">
      <c r="A50" t="s">
        <v>354</v>
      </c>
      <c r="B50">
        <v>27946</v>
      </c>
      <c r="C50">
        <f t="shared" si="46"/>
        <v>28147.200000000001</v>
      </c>
      <c r="D50">
        <f t="shared" si="47"/>
        <v>28348.400000000001</v>
      </c>
      <c r="E50">
        <f t="shared" si="48"/>
        <v>28549.599999999999</v>
      </c>
      <c r="F50">
        <f t="shared" si="49"/>
        <v>28750.799999999999</v>
      </c>
      <c r="G50">
        <f t="shared" si="50"/>
        <v>28952</v>
      </c>
      <c r="H50">
        <f t="shared" si="51"/>
        <v>29153.200000000001</v>
      </c>
      <c r="I50">
        <f t="shared" si="52"/>
        <v>29354.400000000001</v>
      </c>
      <c r="J50">
        <f t="shared" si="53"/>
        <v>29555.599999999999</v>
      </c>
      <c r="K50">
        <f t="shared" si="54"/>
        <v>29756.799999999999</v>
      </c>
      <c r="L50">
        <v>29958</v>
      </c>
      <c r="M50">
        <f t="shared" si="55"/>
        <v>29824.3</v>
      </c>
      <c r="N50">
        <f t="shared" si="56"/>
        <v>29690.6</v>
      </c>
      <c r="O50">
        <f t="shared" si="57"/>
        <v>29556.9</v>
      </c>
      <c r="P50">
        <f t="shared" si="58"/>
        <v>29423.200000000001</v>
      </c>
      <c r="Q50">
        <f t="shared" si="59"/>
        <v>29289.5</v>
      </c>
      <c r="R50">
        <f t="shared" si="60"/>
        <v>29155.8</v>
      </c>
      <c r="S50">
        <f t="shared" si="61"/>
        <v>29022.1</v>
      </c>
      <c r="T50">
        <f t="shared" si="62"/>
        <v>28888.400000000001</v>
      </c>
      <c r="U50">
        <f t="shared" si="63"/>
        <v>28754.7</v>
      </c>
      <c r="V50">
        <v>28621</v>
      </c>
      <c r="W50">
        <f t="shared" si="64"/>
        <v>28511</v>
      </c>
      <c r="X50">
        <f t="shared" si="65"/>
        <v>28401</v>
      </c>
      <c r="Y50">
        <f t="shared" si="66"/>
        <v>28291</v>
      </c>
      <c r="Z50">
        <f t="shared" si="67"/>
        <v>28181</v>
      </c>
      <c r="AA50">
        <f t="shared" si="68"/>
        <v>28071</v>
      </c>
      <c r="AB50">
        <f t="shared" si="69"/>
        <v>27961</v>
      </c>
      <c r="AC50">
        <f t="shared" si="70"/>
        <v>27851</v>
      </c>
      <c r="AD50">
        <f t="shared" si="71"/>
        <v>27741</v>
      </c>
      <c r="AE50">
        <f t="shared" si="72"/>
        <v>27631</v>
      </c>
      <c r="AF50">
        <v>27521</v>
      </c>
      <c r="AG50">
        <f t="shared" si="73"/>
        <v>27457.5</v>
      </c>
      <c r="AH50">
        <f t="shared" si="74"/>
        <v>27394</v>
      </c>
      <c r="AI50">
        <f t="shared" si="75"/>
        <v>27330.5</v>
      </c>
      <c r="AJ50">
        <f t="shared" si="76"/>
        <v>27267</v>
      </c>
      <c r="AK50">
        <f t="shared" si="77"/>
        <v>27203.5</v>
      </c>
      <c r="AL50">
        <f t="shared" si="78"/>
        <v>27140</v>
      </c>
      <c r="AM50">
        <f t="shared" si="79"/>
        <v>27076.5</v>
      </c>
      <c r="AN50">
        <f t="shared" si="80"/>
        <v>27013</v>
      </c>
      <c r="AO50">
        <f t="shared" si="81"/>
        <v>26949.5</v>
      </c>
      <c r="AP50">
        <v>26886</v>
      </c>
      <c r="AQ50">
        <f t="shared" si="82"/>
        <v>26822.649622441975</v>
      </c>
      <c r="AR50">
        <f t="shared" si="83"/>
        <v>26759.448514776712</v>
      </c>
      <c r="AS50">
        <f t="shared" si="84"/>
        <v>26696.396325285692</v>
      </c>
      <c r="AT50">
        <f t="shared" si="85"/>
        <v>26633.492703079137</v>
      </c>
      <c r="AU50">
        <f t="shared" si="86"/>
        <v>26570.737298094056</v>
      </c>
      <c r="AV50">
        <f t="shared" si="87"/>
        <v>26508.129761092299</v>
      </c>
      <c r="AW50">
        <f t="shared" si="88"/>
        <v>26445.669743658607</v>
      </c>
      <c r="AX50">
        <f t="shared" si="89"/>
        <v>26383.356898198683</v>
      </c>
      <c r="AY50">
        <f t="shared" si="90"/>
        <v>26321.19087793725</v>
      </c>
    </row>
    <row r="51" spans="1:51" x14ac:dyDescent="0.35">
      <c r="A51" t="s">
        <v>355</v>
      </c>
      <c r="B51" s="5">
        <f t="shared" ref="B51:K51" si="91">C51/(1+((D51/C51)-1))</f>
        <v>20302.551363395189</v>
      </c>
      <c r="C51" s="5">
        <f t="shared" si="91"/>
        <v>20192.867758639739</v>
      </c>
      <c r="D51" s="5">
        <f t="shared" si="91"/>
        <v>20083.776714540181</v>
      </c>
      <c r="E51" s="5">
        <f t="shared" si="91"/>
        <v>19975.275029814686</v>
      </c>
      <c r="F51" s="5">
        <f t="shared" si="91"/>
        <v>19867.359520476202</v>
      </c>
      <c r="G51" s="5">
        <f t="shared" si="91"/>
        <v>19760.027019739024</v>
      </c>
      <c r="H51" s="5">
        <f t="shared" si="91"/>
        <v>19653.274377925856</v>
      </c>
      <c r="I51" s="5">
        <f t="shared" si="91"/>
        <v>19547.098462375394</v>
      </c>
      <c r="J51" s="5">
        <f t="shared" si="91"/>
        <v>19441.496157350393</v>
      </c>
      <c r="K51" s="5">
        <f t="shared" si="91"/>
        <v>19336.464363946237</v>
      </c>
      <c r="L51">
        <v>19232</v>
      </c>
      <c r="M51">
        <f t="shared" si="55"/>
        <v>19128.099999999999</v>
      </c>
      <c r="N51">
        <f t="shared" si="56"/>
        <v>19024.2</v>
      </c>
      <c r="O51">
        <f t="shared" si="57"/>
        <v>18920.3</v>
      </c>
      <c r="P51">
        <f t="shared" si="58"/>
        <v>18816.400000000001</v>
      </c>
      <c r="Q51">
        <f t="shared" si="59"/>
        <v>18712.5</v>
      </c>
      <c r="R51">
        <f t="shared" si="60"/>
        <v>18608.599999999999</v>
      </c>
      <c r="S51">
        <f t="shared" si="61"/>
        <v>18504.7</v>
      </c>
      <c r="T51">
        <f t="shared" si="62"/>
        <v>18400.8</v>
      </c>
      <c r="U51">
        <f t="shared" si="63"/>
        <v>18296.900000000001</v>
      </c>
      <c r="V51">
        <v>18193</v>
      </c>
      <c r="W51">
        <f t="shared" si="64"/>
        <v>17884.7</v>
      </c>
      <c r="X51">
        <f t="shared" si="65"/>
        <v>17576.400000000001</v>
      </c>
      <c r="Y51">
        <f t="shared" si="66"/>
        <v>17268.099999999999</v>
      </c>
      <c r="Z51">
        <f t="shared" si="67"/>
        <v>16959.8</v>
      </c>
      <c r="AA51">
        <f t="shared" si="68"/>
        <v>16651.5</v>
      </c>
      <c r="AB51">
        <f t="shared" si="69"/>
        <v>16343.2</v>
      </c>
      <c r="AC51">
        <f t="shared" si="70"/>
        <v>16034.9</v>
      </c>
      <c r="AD51">
        <f t="shared" si="71"/>
        <v>15726.6</v>
      </c>
      <c r="AE51">
        <f t="shared" si="72"/>
        <v>15418.3</v>
      </c>
      <c r="AF51">
        <v>15110</v>
      </c>
      <c r="AG51">
        <f t="shared" si="73"/>
        <v>14834.6</v>
      </c>
      <c r="AH51">
        <f t="shared" si="74"/>
        <v>14559.2</v>
      </c>
      <c r="AI51">
        <f t="shared" si="75"/>
        <v>14283.8</v>
      </c>
      <c r="AJ51">
        <f t="shared" si="76"/>
        <v>14008.4</v>
      </c>
      <c r="AK51">
        <f t="shared" si="77"/>
        <v>13733</v>
      </c>
      <c r="AL51">
        <f t="shared" si="78"/>
        <v>13457.6</v>
      </c>
      <c r="AM51">
        <f t="shared" si="79"/>
        <v>13182.2</v>
      </c>
      <c r="AN51">
        <f t="shared" si="80"/>
        <v>12906.8</v>
      </c>
      <c r="AO51">
        <f t="shared" si="81"/>
        <v>12631.4</v>
      </c>
      <c r="AP51">
        <v>12356</v>
      </c>
      <c r="AQ51">
        <f t="shared" si="82"/>
        <v>12086.604493563658</v>
      </c>
      <c r="AR51">
        <f t="shared" si="83"/>
        <v>11823.082565865427</v>
      </c>
      <c r="AS51">
        <f t="shared" si="84"/>
        <v>11565.306156390678</v>
      </c>
      <c r="AT51">
        <f t="shared" si="85"/>
        <v>11313.149996703707</v>
      </c>
      <c r="AU51">
        <f t="shared" si="86"/>
        <v>11066.491549572573</v>
      </c>
      <c r="AV51">
        <f t="shared" si="87"/>
        <v>10825.21094942118</v>
      </c>
      <c r="AW51">
        <f t="shared" si="88"/>
        <v>10589.190944079681</v>
      </c>
      <c r="AX51">
        <f t="shared" si="89"/>
        <v>10358.316837804878</v>
      </c>
      <c r="AY51">
        <f t="shared" si="90"/>
        <v>10132.476435542938</v>
      </c>
    </row>
    <row r="52" spans="1:51" x14ac:dyDescent="0.35">
      <c r="A52" t="s">
        <v>356</v>
      </c>
      <c r="B52">
        <v>3169</v>
      </c>
      <c r="C52">
        <f t="shared" ref="C52:C61" si="92">$L52-($L52-$B52)*(9/10)</f>
        <v>3193.6</v>
      </c>
      <c r="D52">
        <f t="shared" ref="D52:D61" si="93">$L52-($L52-$B52)*(8/10)</f>
        <v>3218.2</v>
      </c>
      <c r="E52">
        <f t="shared" ref="E52:E61" si="94">$L52-($L52-$B52)*(7/10)</f>
        <v>3242.8</v>
      </c>
      <c r="F52">
        <f t="shared" ref="F52:F61" si="95">$L52-($L52-$B52)*(6/10)</f>
        <v>3267.4</v>
      </c>
      <c r="G52">
        <f t="shared" ref="G52:G61" si="96">$L52-($L52-$B52)*(5/10)</f>
        <v>3292</v>
      </c>
      <c r="H52">
        <f t="shared" ref="H52:H61" si="97">$L52-($L52-$B52)*(4/10)</f>
        <v>3316.6</v>
      </c>
      <c r="I52">
        <f t="shared" ref="I52:I61" si="98">$L52-($L52-$B52)*(3/10)</f>
        <v>3341.2</v>
      </c>
      <c r="J52">
        <f t="shared" ref="J52:J61" si="99">$L52-($L52-$B52)*(2/10)</f>
        <v>3365.8</v>
      </c>
      <c r="K52">
        <f t="shared" ref="K52:K61" si="100">$L52-($L52-$B52)*(1/10)</f>
        <v>3390.4</v>
      </c>
      <c r="L52">
        <v>3415</v>
      </c>
      <c r="M52">
        <f t="shared" si="55"/>
        <v>3441.4</v>
      </c>
      <c r="N52">
        <f t="shared" si="56"/>
        <v>3467.8</v>
      </c>
      <c r="O52">
        <f t="shared" si="57"/>
        <v>3494.2</v>
      </c>
      <c r="P52">
        <f t="shared" si="58"/>
        <v>3520.6</v>
      </c>
      <c r="Q52">
        <f t="shared" si="59"/>
        <v>3547</v>
      </c>
      <c r="R52">
        <f t="shared" si="60"/>
        <v>3573.4</v>
      </c>
      <c r="S52">
        <f t="shared" si="61"/>
        <v>3599.8</v>
      </c>
      <c r="T52">
        <f t="shared" si="62"/>
        <v>3626.2</v>
      </c>
      <c r="U52">
        <f t="shared" si="63"/>
        <v>3652.6</v>
      </c>
      <c r="V52">
        <v>3679</v>
      </c>
      <c r="W52">
        <f t="shared" si="64"/>
        <v>3728.9</v>
      </c>
      <c r="X52">
        <f t="shared" si="65"/>
        <v>3778.8</v>
      </c>
      <c r="Y52">
        <f t="shared" si="66"/>
        <v>3828.7</v>
      </c>
      <c r="Z52">
        <f t="shared" si="67"/>
        <v>3878.6</v>
      </c>
      <c r="AA52">
        <f t="shared" si="68"/>
        <v>3928.5</v>
      </c>
      <c r="AB52">
        <f t="shared" si="69"/>
        <v>3978.4</v>
      </c>
      <c r="AC52">
        <f t="shared" si="70"/>
        <v>4028.3</v>
      </c>
      <c r="AD52">
        <f t="shared" si="71"/>
        <v>4078.2</v>
      </c>
      <c r="AE52">
        <f t="shared" si="72"/>
        <v>4128.1000000000004</v>
      </c>
      <c r="AF52">
        <v>4178</v>
      </c>
      <c r="AG52">
        <f t="shared" si="73"/>
        <v>4149.8</v>
      </c>
      <c r="AH52">
        <f t="shared" si="74"/>
        <v>4121.6000000000004</v>
      </c>
      <c r="AI52">
        <f t="shared" si="75"/>
        <v>4093.4</v>
      </c>
      <c r="AJ52">
        <f t="shared" si="76"/>
        <v>4065.2</v>
      </c>
      <c r="AK52">
        <f t="shared" si="77"/>
        <v>4037</v>
      </c>
      <c r="AL52">
        <f t="shared" si="78"/>
        <v>4008.8</v>
      </c>
      <c r="AM52">
        <f t="shared" si="79"/>
        <v>3980.6</v>
      </c>
      <c r="AN52">
        <f t="shared" si="80"/>
        <v>3952.4</v>
      </c>
      <c r="AO52">
        <f t="shared" si="81"/>
        <v>3924.2</v>
      </c>
      <c r="AP52">
        <v>3896</v>
      </c>
      <c r="AQ52">
        <f t="shared" si="82"/>
        <v>3868.0026502217015</v>
      </c>
      <c r="AR52">
        <f t="shared" si="83"/>
        <v>3840.2064943845244</v>
      </c>
      <c r="AS52">
        <f t="shared" si="84"/>
        <v>3812.6100866729798</v>
      </c>
      <c r="AT52">
        <f t="shared" si="85"/>
        <v>3785.2119916614674</v>
      </c>
      <c r="AU52">
        <f t="shared" si="86"/>
        <v>3758.0107842396101</v>
      </c>
      <c r="AV52">
        <f t="shared" si="87"/>
        <v>3731.0050495381279</v>
      </c>
      <c r="AW52">
        <f t="shared" si="88"/>
        <v>3704.1933828552437</v>
      </c>
      <c r="AX52">
        <f t="shared" si="89"/>
        <v>3677.5743895836172</v>
      </c>
      <c r="AY52">
        <f t="shared" si="90"/>
        <v>3651.146685137805</v>
      </c>
    </row>
    <row r="53" spans="1:51" x14ac:dyDescent="0.35">
      <c r="A53" t="s">
        <v>357</v>
      </c>
      <c r="B53">
        <v>3300</v>
      </c>
      <c r="C53">
        <f t="shared" si="92"/>
        <v>3307.8</v>
      </c>
      <c r="D53">
        <f t="shared" si="93"/>
        <v>3315.6</v>
      </c>
      <c r="E53">
        <f t="shared" si="94"/>
        <v>3323.4</v>
      </c>
      <c r="F53">
        <f t="shared" si="95"/>
        <v>3331.2</v>
      </c>
      <c r="G53">
        <f t="shared" si="96"/>
        <v>3339</v>
      </c>
      <c r="H53">
        <f t="shared" si="97"/>
        <v>3346.8</v>
      </c>
      <c r="I53">
        <f t="shared" si="98"/>
        <v>3354.6</v>
      </c>
      <c r="J53">
        <f t="shared" si="99"/>
        <v>3362.4</v>
      </c>
      <c r="K53">
        <f t="shared" si="100"/>
        <v>3370.2</v>
      </c>
      <c r="L53">
        <v>3378</v>
      </c>
      <c r="M53">
        <f t="shared" si="55"/>
        <v>3365.2</v>
      </c>
      <c r="N53">
        <f t="shared" si="56"/>
        <v>3352.4</v>
      </c>
      <c r="O53">
        <f t="shared" si="57"/>
        <v>3339.6</v>
      </c>
      <c r="P53">
        <f t="shared" si="58"/>
        <v>3326.8</v>
      </c>
      <c r="Q53">
        <f t="shared" si="59"/>
        <v>3314</v>
      </c>
      <c r="R53">
        <f t="shared" si="60"/>
        <v>3301.2</v>
      </c>
      <c r="S53">
        <f t="shared" si="61"/>
        <v>3288.4</v>
      </c>
      <c r="T53">
        <f t="shared" si="62"/>
        <v>3275.6</v>
      </c>
      <c r="U53">
        <f t="shared" si="63"/>
        <v>3262.8</v>
      </c>
      <c r="V53">
        <v>3250</v>
      </c>
      <c r="W53">
        <f t="shared" si="64"/>
        <v>3221.1</v>
      </c>
      <c r="X53">
        <f t="shared" si="65"/>
        <v>3192.2</v>
      </c>
      <c r="Y53">
        <f t="shared" si="66"/>
        <v>3163.3</v>
      </c>
      <c r="Z53">
        <f t="shared" si="67"/>
        <v>3134.4</v>
      </c>
      <c r="AA53">
        <f t="shared" si="68"/>
        <v>3105.5</v>
      </c>
      <c r="AB53">
        <f t="shared" si="69"/>
        <v>3076.6</v>
      </c>
      <c r="AC53">
        <f t="shared" si="70"/>
        <v>3047.7</v>
      </c>
      <c r="AD53">
        <f t="shared" si="71"/>
        <v>3018.8</v>
      </c>
      <c r="AE53">
        <f t="shared" si="72"/>
        <v>2989.9</v>
      </c>
      <c r="AF53">
        <v>2961</v>
      </c>
      <c r="AG53">
        <f t="shared" si="73"/>
        <v>2939.9</v>
      </c>
      <c r="AH53">
        <f t="shared" si="74"/>
        <v>2918.8</v>
      </c>
      <c r="AI53">
        <f t="shared" si="75"/>
        <v>2897.7</v>
      </c>
      <c r="AJ53">
        <f t="shared" si="76"/>
        <v>2876.6</v>
      </c>
      <c r="AK53">
        <f t="shared" si="77"/>
        <v>2855.5</v>
      </c>
      <c r="AL53">
        <f t="shared" si="78"/>
        <v>2834.4</v>
      </c>
      <c r="AM53">
        <f t="shared" si="79"/>
        <v>2813.3</v>
      </c>
      <c r="AN53">
        <f t="shared" si="80"/>
        <v>2792.2</v>
      </c>
      <c r="AO53">
        <f t="shared" si="81"/>
        <v>2771.1</v>
      </c>
      <c r="AP53">
        <v>2750</v>
      </c>
      <c r="AQ53">
        <f t="shared" si="82"/>
        <v>2729.0606618310417</v>
      </c>
      <c r="AR53">
        <f t="shared" si="83"/>
        <v>2708.2807621649754</v>
      </c>
      <c r="AS53">
        <f t="shared" si="84"/>
        <v>2687.6590869884453</v>
      </c>
      <c r="AT53">
        <f t="shared" si="85"/>
        <v>2667.1944315319633</v>
      </c>
      <c r="AU53">
        <f t="shared" si="86"/>
        <v>2646.8856001995232</v>
      </c>
      <c r="AV53">
        <f t="shared" si="87"/>
        <v>2626.7314064987509</v>
      </c>
      <c r="AW53">
        <f t="shared" si="88"/>
        <v>2606.730672971587</v>
      </c>
      <c r="AX53">
        <f t="shared" si="89"/>
        <v>2586.8822311254967</v>
      </c>
      <c r="AY53">
        <f t="shared" si="90"/>
        <v>2567.1849213652035</v>
      </c>
    </row>
    <row r="54" spans="1:51" x14ac:dyDescent="0.35">
      <c r="A54" t="s">
        <v>358</v>
      </c>
      <c r="B54">
        <v>3569</v>
      </c>
      <c r="C54">
        <f t="shared" si="92"/>
        <v>3575.3</v>
      </c>
      <c r="D54">
        <f t="shared" si="93"/>
        <v>3581.6</v>
      </c>
      <c r="E54">
        <f t="shared" si="94"/>
        <v>3587.9</v>
      </c>
      <c r="F54">
        <f t="shared" si="95"/>
        <v>3594.2</v>
      </c>
      <c r="G54">
        <f t="shared" si="96"/>
        <v>3600.5</v>
      </c>
      <c r="H54">
        <f t="shared" si="97"/>
        <v>3606.8</v>
      </c>
      <c r="I54">
        <f t="shared" si="98"/>
        <v>3613.1</v>
      </c>
      <c r="J54">
        <f t="shared" si="99"/>
        <v>3619.4</v>
      </c>
      <c r="K54">
        <f t="shared" si="100"/>
        <v>3625.7</v>
      </c>
      <c r="L54">
        <v>3632</v>
      </c>
      <c r="M54">
        <f t="shared" si="55"/>
        <v>3654.3</v>
      </c>
      <c r="N54">
        <f t="shared" si="56"/>
        <v>3676.6</v>
      </c>
      <c r="O54">
        <f t="shared" si="57"/>
        <v>3698.9</v>
      </c>
      <c r="P54">
        <f t="shared" si="58"/>
        <v>3721.2</v>
      </c>
      <c r="Q54">
        <f t="shared" si="59"/>
        <v>3743.5</v>
      </c>
      <c r="R54">
        <f t="shared" si="60"/>
        <v>3765.8</v>
      </c>
      <c r="S54">
        <f t="shared" si="61"/>
        <v>3788.1</v>
      </c>
      <c r="T54">
        <f t="shared" si="62"/>
        <v>3810.4</v>
      </c>
      <c r="U54">
        <f t="shared" si="63"/>
        <v>3832.7</v>
      </c>
      <c r="V54">
        <v>3855</v>
      </c>
      <c r="W54">
        <f t="shared" si="64"/>
        <v>3838.2</v>
      </c>
      <c r="X54">
        <f t="shared" si="65"/>
        <v>3821.4</v>
      </c>
      <c r="Y54">
        <f t="shared" si="66"/>
        <v>3804.6</v>
      </c>
      <c r="Z54">
        <f t="shared" si="67"/>
        <v>3787.8</v>
      </c>
      <c r="AA54">
        <f t="shared" si="68"/>
        <v>3771</v>
      </c>
      <c r="AB54">
        <f t="shared" si="69"/>
        <v>3754.2</v>
      </c>
      <c r="AC54">
        <f t="shared" si="70"/>
        <v>3737.4</v>
      </c>
      <c r="AD54">
        <f t="shared" si="71"/>
        <v>3720.6</v>
      </c>
      <c r="AE54">
        <f t="shared" si="72"/>
        <v>3703.8</v>
      </c>
      <c r="AF54">
        <v>3687</v>
      </c>
      <c r="AG54">
        <f t="shared" si="73"/>
        <v>3680.1</v>
      </c>
      <c r="AH54">
        <f t="shared" si="74"/>
        <v>3673.2</v>
      </c>
      <c r="AI54">
        <f t="shared" si="75"/>
        <v>3666.3</v>
      </c>
      <c r="AJ54">
        <f t="shared" si="76"/>
        <v>3659.4</v>
      </c>
      <c r="AK54">
        <f t="shared" si="77"/>
        <v>3652.5</v>
      </c>
      <c r="AL54">
        <f t="shared" si="78"/>
        <v>3645.6</v>
      </c>
      <c r="AM54">
        <f t="shared" si="79"/>
        <v>3638.7</v>
      </c>
      <c r="AN54">
        <f t="shared" si="80"/>
        <v>3631.8</v>
      </c>
      <c r="AO54">
        <f t="shared" si="81"/>
        <v>3624.9</v>
      </c>
      <c r="AP54">
        <v>3618</v>
      </c>
      <c r="AQ54">
        <f t="shared" si="82"/>
        <v>3611.1131341554251</v>
      </c>
      <c r="AR54">
        <f t="shared" si="83"/>
        <v>3604.2393774653997</v>
      </c>
      <c r="AS54">
        <f t="shared" si="84"/>
        <v>3597.3787049766383</v>
      </c>
      <c r="AT54">
        <f t="shared" si="85"/>
        <v>3590.5310917833535</v>
      </c>
      <c r="AU54">
        <f t="shared" si="86"/>
        <v>3583.6965130271656</v>
      </c>
      <c r="AV54">
        <f t="shared" si="87"/>
        <v>3576.8749438970135</v>
      </c>
      <c r="AW54">
        <f t="shared" si="88"/>
        <v>3570.0663596290638</v>
      </c>
      <c r="AX54">
        <f t="shared" si="89"/>
        <v>3563.2707355066213</v>
      </c>
      <c r="AY54">
        <f t="shared" si="90"/>
        <v>3556.4880468600386</v>
      </c>
    </row>
    <row r="55" spans="1:51" x14ac:dyDescent="0.35">
      <c r="A55" t="s">
        <v>247</v>
      </c>
      <c r="B55">
        <v>5100</v>
      </c>
      <c r="C55">
        <f t="shared" si="92"/>
        <v>5136.6000000000004</v>
      </c>
      <c r="D55">
        <f t="shared" si="93"/>
        <v>5173.2</v>
      </c>
      <c r="E55">
        <f t="shared" si="94"/>
        <v>5209.8</v>
      </c>
      <c r="F55">
        <f t="shared" si="95"/>
        <v>5246.4</v>
      </c>
      <c r="G55">
        <f t="shared" si="96"/>
        <v>5283</v>
      </c>
      <c r="H55">
        <f t="shared" si="97"/>
        <v>5319.6</v>
      </c>
      <c r="I55">
        <f t="shared" si="98"/>
        <v>5356.2</v>
      </c>
      <c r="J55">
        <f t="shared" si="99"/>
        <v>5392.8</v>
      </c>
      <c r="K55">
        <f t="shared" si="100"/>
        <v>5429.4</v>
      </c>
      <c r="L55">
        <v>5466</v>
      </c>
      <c r="M55">
        <f t="shared" si="55"/>
        <v>5428.8</v>
      </c>
      <c r="N55">
        <f t="shared" si="56"/>
        <v>5391.6</v>
      </c>
      <c r="O55">
        <f t="shared" si="57"/>
        <v>5354.4</v>
      </c>
      <c r="P55">
        <f t="shared" si="58"/>
        <v>5317.2</v>
      </c>
      <c r="Q55">
        <f t="shared" si="59"/>
        <v>5280</v>
      </c>
      <c r="R55">
        <f t="shared" si="60"/>
        <v>5242.8</v>
      </c>
      <c r="S55">
        <f t="shared" si="61"/>
        <v>5205.6000000000004</v>
      </c>
      <c r="T55">
        <f t="shared" si="62"/>
        <v>5168.3999999999996</v>
      </c>
      <c r="U55">
        <f t="shared" si="63"/>
        <v>5131.2</v>
      </c>
      <c r="V55">
        <v>5094</v>
      </c>
      <c r="W55">
        <f t="shared" si="64"/>
        <v>5060.3999999999996</v>
      </c>
      <c r="X55">
        <f t="shared" si="65"/>
        <v>5026.8</v>
      </c>
      <c r="Y55">
        <f t="shared" si="66"/>
        <v>4993.2</v>
      </c>
      <c r="Z55">
        <f t="shared" si="67"/>
        <v>4959.6000000000004</v>
      </c>
      <c r="AA55">
        <f t="shared" si="68"/>
        <v>4926</v>
      </c>
      <c r="AB55">
        <f t="shared" si="69"/>
        <v>4892.3999999999996</v>
      </c>
      <c r="AC55">
        <f t="shared" si="70"/>
        <v>4858.8</v>
      </c>
      <c r="AD55">
        <f t="shared" si="71"/>
        <v>4825.2</v>
      </c>
      <c r="AE55">
        <f t="shared" si="72"/>
        <v>4791.6000000000004</v>
      </c>
      <c r="AF55">
        <v>4758</v>
      </c>
      <c r="AG55">
        <f t="shared" si="73"/>
        <v>4676.2</v>
      </c>
      <c r="AH55">
        <f t="shared" si="74"/>
        <v>4594.3999999999996</v>
      </c>
      <c r="AI55">
        <f t="shared" si="75"/>
        <v>4512.6000000000004</v>
      </c>
      <c r="AJ55">
        <f t="shared" si="76"/>
        <v>4430.8</v>
      </c>
      <c r="AK55">
        <f t="shared" si="77"/>
        <v>4349</v>
      </c>
      <c r="AL55">
        <f t="shared" si="78"/>
        <v>4267.2</v>
      </c>
      <c r="AM55">
        <f t="shared" si="79"/>
        <v>4185.3999999999996</v>
      </c>
      <c r="AN55">
        <f t="shared" si="80"/>
        <v>4103.6000000000004</v>
      </c>
      <c r="AO55">
        <f t="shared" si="81"/>
        <v>4021.8</v>
      </c>
      <c r="AP55">
        <v>3940</v>
      </c>
      <c r="AQ55">
        <f t="shared" si="82"/>
        <v>3859.8637426028145</v>
      </c>
      <c r="AR55">
        <f t="shared" si="83"/>
        <v>3781.3573886953823</v>
      </c>
      <c r="AS55">
        <f t="shared" si="84"/>
        <v>3704.4477874234931</v>
      </c>
      <c r="AT55">
        <f t="shared" si="85"/>
        <v>3629.1024621931874</v>
      </c>
      <c r="AU55">
        <f t="shared" si="86"/>
        <v>3555.2895969568744</v>
      </c>
      <c r="AV55">
        <f t="shared" si="87"/>
        <v>3482.978022778379</v>
      </c>
      <c r="AW55">
        <f t="shared" si="88"/>
        <v>3412.1372046712449</v>
      </c>
      <c r="AX55">
        <f t="shared" si="89"/>
        <v>3342.7372287047356</v>
      </c>
      <c r="AY55">
        <f t="shared" si="90"/>
        <v>3274.7487893720868</v>
      </c>
    </row>
    <row r="56" spans="1:51" x14ac:dyDescent="0.35">
      <c r="A56" t="s">
        <v>359</v>
      </c>
      <c r="B56">
        <v>4790</v>
      </c>
      <c r="C56">
        <f t="shared" si="92"/>
        <v>4914.6000000000004</v>
      </c>
      <c r="D56">
        <f t="shared" si="93"/>
        <v>5039.2</v>
      </c>
      <c r="E56">
        <f t="shared" si="94"/>
        <v>5163.8</v>
      </c>
      <c r="F56">
        <f t="shared" si="95"/>
        <v>5288.4</v>
      </c>
      <c r="G56">
        <f t="shared" si="96"/>
        <v>5413</v>
      </c>
      <c r="H56">
        <f t="shared" si="97"/>
        <v>5537.6</v>
      </c>
      <c r="I56">
        <f t="shared" si="98"/>
        <v>5662.2</v>
      </c>
      <c r="J56">
        <f t="shared" si="99"/>
        <v>5786.8</v>
      </c>
      <c r="K56">
        <f t="shared" si="100"/>
        <v>5911.4</v>
      </c>
      <c r="L56">
        <v>6036</v>
      </c>
      <c r="M56">
        <f t="shared" si="55"/>
        <v>6080.6</v>
      </c>
      <c r="N56">
        <f t="shared" si="56"/>
        <v>6125.2</v>
      </c>
      <c r="O56">
        <f t="shared" si="57"/>
        <v>6169.8</v>
      </c>
      <c r="P56">
        <f t="shared" si="58"/>
        <v>6214.4</v>
      </c>
      <c r="Q56">
        <f t="shared" si="59"/>
        <v>6259</v>
      </c>
      <c r="R56">
        <f t="shared" si="60"/>
        <v>6303.6</v>
      </c>
      <c r="S56">
        <f t="shared" si="61"/>
        <v>6348.2</v>
      </c>
      <c r="T56">
        <f t="shared" si="62"/>
        <v>6392.8</v>
      </c>
      <c r="U56">
        <f t="shared" si="63"/>
        <v>6437.4</v>
      </c>
      <c r="V56">
        <v>6482</v>
      </c>
      <c r="W56">
        <f t="shared" si="64"/>
        <v>6427.9</v>
      </c>
      <c r="X56">
        <f t="shared" si="65"/>
        <v>6373.8</v>
      </c>
      <c r="Y56">
        <f t="shared" si="66"/>
        <v>6319.7</v>
      </c>
      <c r="Z56">
        <f t="shared" si="67"/>
        <v>6265.6</v>
      </c>
      <c r="AA56">
        <f t="shared" si="68"/>
        <v>6211.5</v>
      </c>
      <c r="AB56">
        <f t="shared" si="69"/>
        <v>6157.4</v>
      </c>
      <c r="AC56">
        <f t="shared" si="70"/>
        <v>6103.3</v>
      </c>
      <c r="AD56">
        <f t="shared" si="71"/>
        <v>6049.2</v>
      </c>
      <c r="AE56">
        <f t="shared" si="72"/>
        <v>5995.1</v>
      </c>
      <c r="AF56">
        <v>5941</v>
      </c>
      <c r="AG56">
        <f t="shared" si="73"/>
        <v>5912.1</v>
      </c>
      <c r="AH56">
        <f t="shared" si="74"/>
        <v>5883.2</v>
      </c>
      <c r="AI56">
        <f t="shared" si="75"/>
        <v>5854.3</v>
      </c>
      <c r="AJ56">
        <f t="shared" si="76"/>
        <v>5825.4</v>
      </c>
      <c r="AK56">
        <f t="shared" si="77"/>
        <v>5796.5</v>
      </c>
      <c r="AL56">
        <f t="shared" si="78"/>
        <v>5767.6</v>
      </c>
      <c r="AM56">
        <f t="shared" si="79"/>
        <v>5738.7</v>
      </c>
      <c r="AN56">
        <f t="shared" si="80"/>
        <v>5709.8</v>
      </c>
      <c r="AO56">
        <f t="shared" si="81"/>
        <v>5680.9</v>
      </c>
      <c r="AP56">
        <v>5652</v>
      </c>
      <c r="AQ56">
        <f t="shared" si="82"/>
        <v>5623.2470207185488</v>
      </c>
      <c r="AR56">
        <f t="shared" si="83"/>
        <v>5594.6403142285981</v>
      </c>
      <c r="AS56">
        <f t="shared" si="84"/>
        <v>5566.1791364079709</v>
      </c>
      <c r="AT56">
        <f t="shared" si="85"/>
        <v>5537.8627469200055</v>
      </c>
      <c r="AU56">
        <f t="shared" si="86"/>
        <v>5509.690409194297</v>
      </c>
      <c r="AV56">
        <f t="shared" si="87"/>
        <v>5481.6613904075366</v>
      </c>
      <c r="AW56">
        <f t="shared" si="88"/>
        <v>5453.7749614644517</v>
      </c>
      <c r="AX56">
        <f t="shared" si="89"/>
        <v>5426.0303969788392</v>
      </c>
      <c r="AY56">
        <f t="shared" si="90"/>
        <v>5398.4269752546961</v>
      </c>
    </row>
    <row r="57" spans="1:51" x14ac:dyDescent="0.35">
      <c r="A57" t="s">
        <v>185</v>
      </c>
      <c r="B57">
        <v>38174</v>
      </c>
      <c r="C57">
        <f t="shared" si="92"/>
        <v>38324.5</v>
      </c>
      <c r="D57">
        <f t="shared" si="93"/>
        <v>38475</v>
      </c>
      <c r="E57">
        <f t="shared" si="94"/>
        <v>38625.5</v>
      </c>
      <c r="F57">
        <f t="shared" si="95"/>
        <v>38776</v>
      </c>
      <c r="G57">
        <f t="shared" si="96"/>
        <v>38926.5</v>
      </c>
      <c r="H57">
        <f t="shared" si="97"/>
        <v>39077</v>
      </c>
      <c r="I57">
        <f t="shared" si="98"/>
        <v>39227.5</v>
      </c>
      <c r="J57">
        <f t="shared" si="99"/>
        <v>39378</v>
      </c>
      <c r="K57">
        <f t="shared" si="100"/>
        <v>39528.5</v>
      </c>
      <c r="L57">
        <v>39679</v>
      </c>
      <c r="M57">
        <f t="shared" si="55"/>
        <v>39786.9</v>
      </c>
      <c r="N57">
        <f t="shared" si="56"/>
        <v>39894.800000000003</v>
      </c>
      <c r="O57">
        <f t="shared" si="57"/>
        <v>40002.699999999997</v>
      </c>
      <c r="P57">
        <f t="shared" si="58"/>
        <v>40110.6</v>
      </c>
      <c r="Q57">
        <f t="shared" si="59"/>
        <v>40218.5</v>
      </c>
      <c r="R57">
        <f t="shared" si="60"/>
        <v>40326.400000000001</v>
      </c>
      <c r="S57">
        <f t="shared" si="61"/>
        <v>40434.300000000003</v>
      </c>
      <c r="T57">
        <f t="shared" si="62"/>
        <v>40542.199999999997</v>
      </c>
      <c r="U57">
        <f t="shared" si="63"/>
        <v>40650.1</v>
      </c>
      <c r="V57">
        <v>40758</v>
      </c>
      <c r="W57">
        <f t="shared" si="64"/>
        <v>40814.199999999997</v>
      </c>
      <c r="X57">
        <f t="shared" si="65"/>
        <v>40870.400000000001</v>
      </c>
      <c r="Y57">
        <f t="shared" si="66"/>
        <v>40926.6</v>
      </c>
      <c r="Z57">
        <f t="shared" si="67"/>
        <v>40982.800000000003</v>
      </c>
      <c r="AA57">
        <f t="shared" si="68"/>
        <v>41039</v>
      </c>
      <c r="AB57">
        <f t="shared" si="69"/>
        <v>41095.199999999997</v>
      </c>
      <c r="AC57">
        <f t="shared" si="70"/>
        <v>41151.4</v>
      </c>
      <c r="AD57">
        <f t="shared" si="71"/>
        <v>41207.599999999999</v>
      </c>
      <c r="AE57">
        <f t="shared" si="72"/>
        <v>41263.800000000003</v>
      </c>
      <c r="AF57">
        <v>41320</v>
      </c>
      <c r="AG57">
        <f t="shared" si="73"/>
        <v>41086.800000000003</v>
      </c>
      <c r="AH57">
        <f t="shared" si="74"/>
        <v>40853.599999999999</v>
      </c>
      <c r="AI57">
        <f t="shared" si="75"/>
        <v>40620.400000000001</v>
      </c>
      <c r="AJ57">
        <f t="shared" si="76"/>
        <v>40387.199999999997</v>
      </c>
      <c r="AK57">
        <f t="shared" si="77"/>
        <v>40154</v>
      </c>
      <c r="AL57">
        <f t="shared" si="78"/>
        <v>39920.800000000003</v>
      </c>
      <c r="AM57">
        <f t="shared" si="79"/>
        <v>39687.599999999999</v>
      </c>
      <c r="AN57">
        <f t="shared" si="80"/>
        <v>39454.400000000001</v>
      </c>
      <c r="AO57">
        <f t="shared" si="81"/>
        <v>39221.199999999997</v>
      </c>
      <c r="AP57">
        <v>38988</v>
      </c>
      <c r="AQ57">
        <f t="shared" si="82"/>
        <v>38756.186552170766</v>
      </c>
      <c r="AR57">
        <f t="shared" si="83"/>
        <v>38525.751412400277</v>
      </c>
      <c r="AS57">
        <f t="shared" si="84"/>
        <v>38296.686385594068</v>
      </c>
      <c r="AT57">
        <f t="shared" si="85"/>
        <v>38068.983325383757</v>
      </c>
      <c r="AU57">
        <f t="shared" si="86"/>
        <v>37842.63413383736</v>
      </c>
      <c r="AV57">
        <f t="shared" si="87"/>
        <v>37617.630761171276</v>
      </c>
      <c r="AW57">
        <f t="shared" si="88"/>
        <v>37393.965205464025</v>
      </c>
      <c r="AX57">
        <f t="shared" si="89"/>
        <v>37171.629512371655</v>
      </c>
      <c r="AY57">
        <f t="shared" si="90"/>
        <v>36950.615774844875</v>
      </c>
    </row>
    <row r="58" spans="1:51" x14ac:dyDescent="0.35">
      <c r="A58" t="s">
        <v>84</v>
      </c>
      <c r="B58">
        <v>282487</v>
      </c>
      <c r="C58">
        <f t="shared" si="92"/>
        <v>286979.7</v>
      </c>
      <c r="D58">
        <f t="shared" si="93"/>
        <v>291472.40000000002</v>
      </c>
      <c r="E58">
        <f t="shared" si="94"/>
        <v>295965.09999999998</v>
      </c>
      <c r="F58">
        <f t="shared" si="95"/>
        <v>300457.8</v>
      </c>
      <c r="G58">
        <f t="shared" si="96"/>
        <v>304950.5</v>
      </c>
      <c r="H58">
        <f t="shared" si="97"/>
        <v>309443.20000000001</v>
      </c>
      <c r="I58">
        <f t="shared" si="98"/>
        <v>313935.90000000002</v>
      </c>
      <c r="J58">
        <f t="shared" si="99"/>
        <v>318428.59999999998</v>
      </c>
      <c r="K58">
        <f t="shared" si="100"/>
        <v>322921.3</v>
      </c>
      <c r="L58">
        <v>327414</v>
      </c>
      <c r="M58">
        <f t="shared" si="55"/>
        <v>327242.3</v>
      </c>
      <c r="N58">
        <f t="shared" si="56"/>
        <v>327070.59999999998</v>
      </c>
      <c r="O58">
        <f t="shared" si="57"/>
        <v>326898.90000000002</v>
      </c>
      <c r="P58">
        <f t="shared" si="58"/>
        <v>326727.2</v>
      </c>
      <c r="Q58">
        <f t="shared" si="59"/>
        <v>326555.5</v>
      </c>
      <c r="R58">
        <f t="shared" si="60"/>
        <v>326383.8</v>
      </c>
      <c r="S58">
        <f t="shared" si="61"/>
        <v>326212.09999999998</v>
      </c>
      <c r="T58">
        <f t="shared" si="62"/>
        <v>326040.40000000002</v>
      </c>
      <c r="U58">
        <f t="shared" si="63"/>
        <v>325868.7</v>
      </c>
      <c r="V58">
        <v>325697</v>
      </c>
      <c r="W58">
        <f t="shared" si="64"/>
        <v>326674.09999999998</v>
      </c>
      <c r="X58">
        <f t="shared" si="65"/>
        <v>327651.20000000001</v>
      </c>
      <c r="Y58">
        <f t="shared" si="66"/>
        <v>328628.3</v>
      </c>
      <c r="Z58">
        <f t="shared" si="67"/>
        <v>329605.40000000002</v>
      </c>
      <c r="AA58">
        <f t="shared" si="68"/>
        <v>330582.5</v>
      </c>
      <c r="AB58">
        <f t="shared" si="69"/>
        <v>331559.59999999998</v>
      </c>
      <c r="AC58">
        <f t="shared" si="70"/>
        <v>332536.7</v>
      </c>
      <c r="AD58">
        <f t="shared" si="71"/>
        <v>333513.8</v>
      </c>
      <c r="AE58">
        <f t="shared" si="72"/>
        <v>334490.90000000002</v>
      </c>
      <c r="AF58">
        <v>335468</v>
      </c>
      <c r="AG58">
        <f t="shared" si="73"/>
        <v>337983.6</v>
      </c>
      <c r="AH58">
        <f t="shared" si="74"/>
        <v>340499.20000000001</v>
      </c>
      <c r="AI58">
        <f t="shared" si="75"/>
        <v>343014.8</v>
      </c>
      <c r="AJ58">
        <f t="shared" si="76"/>
        <v>345530.4</v>
      </c>
      <c r="AK58">
        <f t="shared" si="77"/>
        <v>348046</v>
      </c>
      <c r="AL58">
        <f t="shared" si="78"/>
        <v>350561.6</v>
      </c>
      <c r="AM58">
        <f t="shared" si="79"/>
        <v>353077.2</v>
      </c>
      <c r="AN58">
        <f t="shared" si="80"/>
        <v>355592.8</v>
      </c>
      <c r="AO58">
        <f t="shared" si="81"/>
        <v>358108.4</v>
      </c>
      <c r="AP58">
        <v>360624</v>
      </c>
      <c r="AQ58">
        <f t="shared" si="82"/>
        <v>363157.27130667696</v>
      </c>
      <c r="AR58">
        <f t="shared" si="83"/>
        <v>365708.33805545775</v>
      </c>
      <c r="AS58">
        <f t="shared" si="84"/>
        <v>368277.3252537818</v>
      </c>
      <c r="AT58">
        <f t="shared" si="85"/>
        <v>370864.35878722701</v>
      </c>
      <c r="AU58">
        <f t="shared" si="86"/>
        <v>373469.56542567827</v>
      </c>
      <c r="AV58">
        <f t="shared" si="87"/>
        <v>376093.07282953936</v>
      </c>
      <c r="AW58">
        <f t="shared" si="88"/>
        <v>378735.00955598865</v>
      </c>
      <c r="AX58">
        <f t="shared" si="89"/>
        <v>381395.50506527873</v>
      </c>
      <c r="AY58">
        <f t="shared" si="90"/>
        <v>384074.68972708005</v>
      </c>
    </row>
    <row r="59" spans="1:51" x14ac:dyDescent="0.35">
      <c r="A59" t="s">
        <v>360</v>
      </c>
      <c r="B59">
        <v>5271</v>
      </c>
      <c r="C59">
        <f t="shared" si="92"/>
        <v>5242.7</v>
      </c>
      <c r="D59">
        <f t="shared" si="93"/>
        <v>5214.3999999999996</v>
      </c>
      <c r="E59">
        <f t="shared" si="94"/>
        <v>5186.1000000000004</v>
      </c>
      <c r="F59">
        <f t="shared" si="95"/>
        <v>5157.8</v>
      </c>
      <c r="G59">
        <f t="shared" si="96"/>
        <v>5129.5</v>
      </c>
      <c r="H59">
        <f t="shared" si="97"/>
        <v>5101.2</v>
      </c>
      <c r="I59">
        <f t="shared" si="98"/>
        <v>5072.8999999999996</v>
      </c>
      <c r="J59">
        <f t="shared" si="99"/>
        <v>5044.6000000000004</v>
      </c>
      <c r="K59">
        <f t="shared" si="100"/>
        <v>5016.3</v>
      </c>
      <c r="L59">
        <v>4988</v>
      </c>
      <c r="M59">
        <f t="shared" si="55"/>
        <v>4955.2</v>
      </c>
      <c r="N59">
        <f t="shared" si="56"/>
        <v>4922.3999999999996</v>
      </c>
      <c r="O59">
        <f t="shared" si="57"/>
        <v>4889.6000000000004</v>
      </c>
      <c r="P59">
        <f t="shared" si="58"/>
        <v>4856.8</v>
      </c>
      <c r="Q59">
        <f t="shared" si="59"/>
        <v>4824</v>
      </c>
      <c r="R59">
        <f t="shared" si="60"/>
        <v>4791.2</v>
      </c>
      <c r="S59">
        <f t="shared" si="61"/>
        <v>4758.3999999999996</v>
      </c>
      <c r="T59">
        <f t="shared" si="62"/>
        <v>4725.6000000000004</v>
      </c>
      <c r="U59">
        <f t="shared" si="63"/>
        <v>4692.8</v>
      </c>
      <c r="V59">
        <v>4660</v>
      </c>
      <c r="W59">
        <f t="shared" si="64"/>
        <v>4638.1000000000004</v>
      </c>
      <c r="X59">
        <f t="shared" si="65"/>
        <v>4616.2</v>
      </c>
      <c r="Y59">
        <f t="shared" si="66"/>
        <v>4594.3</v>
      </c>
      <c r="Z59">
        <f t="shared" si="67"/>
        <v>4572.3999999999996</v>
      </c>
      <c r="AA59">
        <f t="shared" si="68"/>
        <v>4550.5</v>
      </c>
      <c r="AB59">
        <f t="shared" si="69"/>
        <v>4528.6000000000004</v>
      </c>
      <c r="AC59">
        <f t="shared" si="70"/>
        <v>4506.7</v>
      </c>
      <c r="AD59">
        <f t="shared" si="71"/>
        <v>4484.8</v>
      </c>
      <c r="AE59">
        <f t="shared" si="72"/>
        <v>4462.8999999999996</v>
      </c>
      <c r="AF59">
        <v>4441</v>
      </c>
      <c r="AG59">
        <f t="shared" si="73"/>
        <v>4402.2</v>
      </c>
      <c r="AH59">
        <f t="shared" si="74"/>
        <v>4363.3999999999996</v>
      </c>
      <c r="AI59">
        <f t="shared" si="75"/>
        <v>4324.6000000000004</v>
      </c>
      <c r="AJ59">
        <f t="shared" si="76"/>
        <v>4285.8</v>
      </c>
      <c r="AK59">
        <f t="shared" si="77"/>
        <v>4247</v>
      </c>
      <c r="AL59">
        <f t="shared" si="78"/>
        <v>4208.2</v>
      </c>
      <c r="AM59">
        <f t="shared" si="79"/>
        <v>4169.3999999999996</v>
      </c>
      <c r="AN59">
        <f t="shared" si="80"/>
        <v>4130.6000000000004</v>
      </c>
      <c r="AO59">
        <f t="shared" si="81"/>
        <v>4091.8</v>
      </c>
      <c r="AP59">
        <v>4053</v>
      </c>
      <c r="AQ59">
        <f t="shared" si="82"/>
        <v>4014.5679163204454</v>
      </c>
      <c r="AR59">
        <f t="shared" si="83"/>
        <v>3976.5002602392015</v>
      </c>
      <c r="AS59">
        <f t="shared" si="84"/>
        <v>3938.7935761155195</v>
      </c>
      <c r="AT59">
        <f t="shared" si="85"/>
        <v>3901.4444410763476</v>
      </c>
      <c r="AU59">
        <f t="shared" si="86"/>
        <v>3864.4494647056149</v>
      </c>
      <c r="AV59">
        <f t="shared" si="87"/>
        <v>3827.805288736462</v>
      </c>
      <c r="AW59">
        <f t="shared" si="88"/>
        <v>3791.5085867463899</v>
      </c>
      <c r="AX59">
        <f t="shared" si="89"/>
        <v>3755.5560638552997</v>
      </c>
      <c r="AY59">
        <f t="shared" si="90"/>
        <v>3719.9444564263958</v>
      </c>
    </row>
    <row r="60" spans="1:51" x14ac:dyDescent="0.35">
      <c r="A60" t="s">
        <v>361</v>
      </c>
      <c r="B60">
        <v>8637</v>
      </c>
      <c r="C60">
        <f t="shared" si="92"/>
        <v>8927.5</v>
      </c>
      <c r="D60">
        <f t="shared" si="93"/>
        <v>9218</v>
      </c>
      <c r="E60">
        <f t="shared" si="94"/>
        <v>9508.5</v>
      </c>
      <c r="F60">
        <f t="shared" si="95"/>
        <v>9799</v>
      </c>
      <c r="G60">
        <f t="shared" si="96"/>
        <v>10089.5</v>
      </c>
      <c r="H60">
        <f t="shared" si="97"/>
        <v>10380</v>
      </c>
      <c r="I60">
        <f t="shared" si="98"/>
        <v>10670.5</v>
      </c>
      <c r="J60">
        <f t="shared" si="99"/>
        <v>10961</v>
      </c>
      <c r="K60">
        <f t="shared" si="100"/>
        <v>11251.5</v>
      </c>
      <c r="L60">
        <v>11542</v>
      </c>
      <c r="M60">
        <f t="shared" si="55"/>
        <v>11983.2</v>
      </c>
      <c r="N60">
        <f t="shared" si="56"/>
        <v>12424.4</v>
      </c>
      <c r="O60">
        <f t="shared" si="57"/>
        <v>12865.6</v>
      </c>
      <c r="P60">
        <f t="shared" si="58"/>
        <v>13306.8</v>
      </c>
      <c r="Q60">
        <f t="shared" si="59"/>
        <v>13748</v>
      </c>
      <c r="R60">
        <f t="shared" si="60"/>
        <v>14189.2</v>
      </c>
      <c r="S60">
        <f t="shared" si="61"/>
        <v>14630.4</v>
      </c>
      <c r="T60">
        <f t="shared" si="62"/>
        <v>15071.6</v>
      </c>
      <c r="U60">
        <f t="shared" si="63"/>
        <v>15512.8</v>
      </c>
      <c r="V60">
        <v>15954</v>
      </c>
      <c r="W60">
        <f t="shared" si="64"/>
        <v>16053.1</v>
      </c>
      <c r="X60">
        <f t="shared" si="65"/>
        <v>16152.2</v>
      </c>
      <c r="Y60">
        <f t="shared" si="66"/>
        <v>16251.3</v>
      </c>
      <c r="Z60">
        <f t="shared" si="67"/>
        <v>16350.4</v>
      </c>
      <c r="AA60">
        <f t="shared" si="68"/>
        <v>16449.5</v>
      </c>
      <c r="AB60">
        <f t="shared" si="69"/>
        <v>16548.599999999999</v>
      </c>
      <c r="AC60">
        <f t="shared" si="70"/>
        <v>16647.7</v>
      </c>
      <c r="AD60">
        <f t="shared" si="71"/>
        <v>16746.8</v>
      </c>
      <c r="AE60">
        <f t="shared" si="72"/>
        <v>16845.900000000001</v>
      </c>
      <c r="AF60">
        <v>16945</v>
      </c>
      <c r="AG60">
        <f t="shared" si="73"/>
        <v>17005.900000000001</v>
      </c>
      <c r="AH60">
        <f t="shared" si="74"/>
        <v>17066.8</v>
      </c>
      <c r="AI60">
        <f t="shared" si="75"/>
        <v>17127.7</v>
      </c>
      <c r="AJ60">
        <f t="shared" si="76"/>
        <v>17188.599999999999</v>
      </c>
      <c r="AK60">
        <f t="shared" si="77"/>
        <v>17249.5</v>
      </c>
      <c r="AL60">
        <f t="shared" si="78"/>
        <v>17310.400000000001</v>
      </c>
      <c r="AM60">
        <f t="shared" si="79"/>
        <v>17371.3</v>
      </c>
      <c r="AN60">
        <f t="shared" si="80"/>
        <v>17432.2</v>
      </c>
      <c r="AO60">
        <f t="shared" si="81"/>
        <v>17493.099999999999</v>
      </c>
      <c r="AP60">
        <v>17554</v>
      </c>
      <c r="AQ60">
        <f t="shared" si="82"/>
        <v>17615.112015594721</v>
      </c>
      <c r="AR60">
        <f t="shared" si="83"/>
        <v>17676.436784889458</v>
      </c>
      <c r="AS60">
        <f t="shared" si="84"/>
        <v>17737.975048559121</v>
      </c>
      <c r="AT60">
        <f t="shared" si="85"/>
        <v>17799.727549857191</v>
      </c>
      <c r="AU60">
        <f t="shared" si="86"/>
        <v>17861.695034624689</v>
      </c>
      <c r="AV60">
        <f t="shared" si="87"/>
        <v>17923.878251299189</v>
      </c>
      <c r="AW60">
        <f t="shared" si="88"/>
        <v>17986.27795092385</v>
      </c>
      <c r="AX60">
        <f t="shared" si="89"/>
        <v>18048.894887156497</v>
      </c>
      <c r="AY60">
        <f t="shared" si="90"/>
        <v>18111.729816278716</v>
      </c>
    </row>
    <row r="61" spans="1:51" x14ac:dyDescent="0.35">
      <c r="A61" t="s">
        <v>362</v>
      </c>
      <c r="B61">
        <v>29503</v>
      </c>
      <c r="C61">
        <f t="shared" si="92"/>
        <v>30459.599999999999</v>
      </c>
      <c r="D61">
        <f t="shared" si="93"/>
        <v>31416.2</v>
      </c>
      <c r="E61">
        <f t="shared" si="94"/>
        <v>32372.799999999999</v>
      </c>
      <c r="F61">
        <f t="shared" si="95"/>
        <v>33329.4</v>
      </c>
      <c r="G61">
        <f t="shared" si="96"/>
        <v>34286</v>
      </c>
      <c r="H61">
        <f t="shared" si="97"/>
        <v>35242.6</v>
      </c>
      <c r="I61">
        <f t="shared" si="98"/>
        <v>36199.199999999997</v>
      </c>
      <c r="J61">
        <f t="shared" si="99"/>
        <v>37155.800000000003</v>
      </c>
      <c r="K61">
        <f t="shared" si="100"/>
        <v>38112.400000000001</v>
      </c>
      <c r="L61">
        <v>39069</v>
      </c>
      <c r="M61">
        <f t="shared" si="55"/>
        <v>39566.400000000001</v>
      </c>
      <c r="N61">
        <f t="shared" si="56"/>
        <v>40063.800000000003</v>
      </c>
      <c r="O61">
        <f t="shared" si="57"/>
        <v>40561.199999999997</v>
      </c>
      <c r="P61">
        <f t="shared" si="58"/>
        <v>41058.6</v>
      </c>
      <c r="Q61">
        <f t="shared" si="59"/>
        <v>41556</v>
      </c>
      <c r="R61">
        <f t="shared" si="60"/>
        <v>42053.4</v>
      </c>
      <c r="S61">
        <f t="shared" si="61"/>
        <v>42550.8</v>
      </c>
      <c r="T61">
        <f t="shared" si="62"/>
        <v>43048.2</v>
      </c>
      <c r="U61">
        <f t="shared" si="63"/>
        <v>43545.599999999999</v>
      </c>
      <c r="V61">
        <v>44043</v>
      </c>
      <c r="W61">
        <f t="shared" si="64"/>
        <v>44217.2</v>
      </c>
      <c r="X61">
        <f t="shared" si="65"/>
        <v>44391.4</v>
      </c>
      <c r="Y61">
        <f t="shared" si="66"/>
        <v>44565.599999999999</v>
      </c>
      <c r="Z61">
        <f t="shared" si="67"/>
        <v>44739.8</v>
      </c>
      <c r="AA61">
        <f t="shared" si="68"/>
        <v>44914</v>
      </c>
      <c r="AB61">
        <f t="shared" si="69"/>
        <v>45088.2</v>
      </c>
      <c r="AC61">
        <f t="shared" si="70"/>
        <v>45262.400000000001</v>
      </c>
      <c r="AD61">
        <f t="shared" si="71"/>
        <v>45436.6</v>
      </c>
      <c r="AE61">
        <f t="shared" si="72"/>
        <v>45610.8</v>
      </c>
      <c r="AF61">
        <v>45785</v>
      </c>
      <c r="AG61">
        <f t="shared" si="73"/>
        <v>46114.5</v>
      </c>
      <c r="AH61">
        <f t="shared" si="74"/>
        <v>46444</v>
      </c>
      <c r="AI61">
        <f t="shared" si="75"/>
        <v>46773.5</v>
      </c>
      <c r="AJ61">
        <f t="shared" si="76"/>
        <v>47103</v>
      </c>
      <c r="AK61">
        <f t="shared" si="77"/>
        <v>47432.5</v>
      </c>
      <c r="AL61">
        <f t="shared" si="78"/>
        <v>47762</v>
      </c>
      <c r="AM61">
        <f t="shared" si="79"/>
        <v>48091.5</v>
      </c>
      <c r="AN61">
        <f t="shared" si="80"/>
        <v>48421</v>
      </c>
      <c r="AO61">
        <f t="shared" si="81"/>
        <v>48750.5</v>
      </c>
      <c r="AP61">
        <v>49080</v>
      </c>
      <c r="AQ61">
        <f t="shared" si="82"/>
        <v>49411.727059209654</v>
      </c>
      <c r="AR61">
        <f t="shared" si="83"/>
        <v>49745.696230110669</v>
      </c>
      <c r="AS61">
        <f t="shared" si="84"/>
        <v>50081.922666923041</v>
      </c>
      <c r="AT61">
        <f t="shared" si="85"/>
        <v>50420.421626292715</v>
      </c>
      <c r="AU61">
        <f t="shared" si="86"/>
        <v>50761.208467983852</v>
      </c>
      <c r="AV61">
        <f t="shared" si="87"/>
        <v>51104.298655575789</v>
      </c>
      <c r="AW61">
        <f t="shared" si="88"/>
        <v>51449.707757164746</v>
      </c>
      <c r="AX61">
        <f t="shared" si="89"/>
        <v>51797.451446070212</v>
      </c>
      <c r="AY61">
        <f t="shared" si="90"/>
        <v>52147.545501546163</v>
      </c>
    </row>
    <row r="62" spans="1:51" x14ac:dyDescent="0.35">
      <c r="A62" t="s">
        <v>24</v>
      </c>
      <c r="B62">
        <v>2667090</v>
      </c>
      <c r="C62">
        <v>2702680</v>
      </c>
      <c r="D62">
        <v>2774360</v>
      </c>
      <c r="E62">
        <v>2774360</v>
      </c>
      <c r="F62">
        <v>2818390</v>
      </c>
      <c r="G62">
        <v>2870820</v>
      </c>
      <c r="H62">
        <v>2929690</v>
      </c>
      <c r="I62">
        <v>2989410</v>
      </c>
      <c r="J62">
        <f>3042180</f>
        <v>3042180</v>
      </c>
      <c r="K62">
        <f>3082620</f>
        <v>3082620</v>
      </c>
      <c r="L62">
        <f>3108.57*1000</f>
        <v>3108570</v>
      </c>
      <c r="M62">
        <f>3122.41*1000</f>
        <v>3122410</v>
      </c>
      <c r="N62">
        <f>3128.96*1000</f>
        <v>3128960</v>
      </c>
      <c r="O62">
        <f>3135.3*1000</f>
        <v>3135300</v>
      </c>
      <c r="P62">
        <f>3146.61*1000</f>
        <v>3146610</v>
      </c>
      <c r="Q62">
        <f>3164.82*1000</f>
        <v>3164820</v>
      </c>
      <c r="R62">
        <f>3188.54*1000</f>
        <v>3188540</v>
      </c>
      <c r="S62">
        <f>3215.73*1000</f>
        <v>3215730</v>
      </c>
      <c r="T62">
        <f>3243.03*1000</f>
        <v>3243030</v>
      </c>
      <c r="U62">
        <f>3268.23*1000</f>
        <v>3268230</v>
      </c>
      <c r="V62">
        <f>3290.3*1000</f>
        <v>3290300</v>
      </c>
      <c r="W62">
        <f>331.75*1000</f>
        <v>331750</v>
      </c>
      <c r="X62">
        <f>3332.79*1000</f>
        <v>3332790</v>
      </c>
      <c r="Y62">
        <f>3360.96*1000</f>
        <v>3360960</v>
      </c>
      <c r="Z62">
        <f>3398.18*1000</f>
        <v>3398180</v>
      </c>
      <c r="AA62">
        <f>3446.17*1000</f>
        <v>3446170</v>
      </c>
      <c r="AB62">
        <f>3503.19*1000</f>
        <v>3503190</v>
      </c>
      <c r="AC62">
        <f>3564.47*1000</f>
        <v>3564470</v>
      </c>
      <c r="AD62">
        <f>3623.27*1000</f>
        <v>3623270</v>
      </c>
      <c r="AE62">
        <f>3674.94*1000</f>
        <v>3674940</v>
      </c>
      <c r="AF62">
        <f>3717.35*1000</f>
        <v>3717350</v>
      </c>
      <c r="AG62">
        <f>3752.36*1000</f>
        <v>3752360</v>
      </c>
      <c r="AH62">
        <f>3783.98*1000</f>
        <v>3783980</v>
      </c>
      <c r="AI62">
        <f>3818.13*1000</f>
        <v>3818130</v>
      </c>
      <c r="AJ62">
        <f>3858.99*1000</f>
        <v>3858990</v>
      </c>
      <c r="AK62">
        <f>3907.94*1000</f>
        <v>3907940</v>
      </c>
      <c r="AL62">
        <f>3963.2*1000</f>
        <v>3963200</v>
      </c>
      <c r="AM62">
        <f>4022.07*1000</f>
        <v>4022070</v>
      </c>
      <c r="AN62">
        <f>4080.42*1000</f>
        <v>4080420</v>
      </c>
      <c r="AO62">
        <f>4135.35*1000</f>
        <v>4135350.0000000005</v>
      </c>
      <c r="AP62">
        <f>4185.88*1000</f>
        <v>4185880</v>
      </c>
      <c r="AQ62">
        <f>4233.05*1000</f>
        <v>4233050</v>
      </c>
      <c r="AR62">
        <f>4278.16*1000</f>
        <v>4278160</v>
      </c>
      <c r="AS62">
        <f>4323.34*1000</f>
        <v>4323340</v>
      </c>
      <c r="AT62">
        <f>4370.06*1000</f>
        <v>4370060</v>
      </c>
      <c r="AU62">
        <f>4418.67*1000</f>
        <v>4418670</v>
      </c>
      <c r="AV62">
        <f>4468.46*1000</f>
        <v>4468460</v>
      </c>
      <c r="AW62">
        <f>4518.52*1000</f>
        <v>4518520</v>
      </c>
      <c r="AX62">
        <f>4567.52*1000</f>
        <v>4567520</v>
      </c>
      <c r="AY62">
        <f>4614.53*1000</f>
        <v>4614530</v>
      </c>
    </row>
  </sheetData>
  <sortState xmlns:xlrd2="http://schemas.microsoft.com/office/spreadsheetml/2017/richdata2" ref="A2:AY61">
    <sortCondition ref="A1:A6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nzcathist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Tripp Modzelewski</cp:lastModifiedBy>
  <cp:revision/>
  <dcterms:created xsi:type="dcterms:W3CDTF">2026-04-14T15:44:18Z</dcterms:created>
  <dcterms:modified xsi:type="dcterms:W3CDTF">2026-04-21T19:21:44Z</dcterms:modified>
  <cp:category/>
  <cp:contentStatus/>
</cp:coreProperties>
</file>