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uvmoffice-my.sharepoint.com/personal/jmodzele_uvm_edu/Documents/"/>
    </mc:Choice>
  </mc:AlternateContent>
  <xr:revisionPtr revIDLastSave="408" documentId="8_{11842CB6-C5AA-4539-892D-04937A1330E1}" xr6:coauthVersionLast="47" xr6:coauthVersionMax="47" xr10:uidLastSave="{FB45E005-8979-444B-867B-5F096CA9FE41}"/>
  <bookViews>
    <workbookView xWindow="38280" yWindow="-120" windowWidth="29040" windowHeight="15720" xr2:uid="{A6BE9AF3-1BA7-45D8-A2C0-832C27466056}"/>
  </bookViews>
  <sheets>
    <sheet name="auscathist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7" i="1"/>
  <c r="N12" i="1"/>
  <c r="N14" i="1"/>
  <c r="N18" i="1"/>
  <c r="N21" i="1"/>
  <c r="N33" i="1"/>
  <c r="N65" i="1"/>
  <c r="N81" i="1"/>
  <c r="N97" i="1"/>
  <c r="N113" i="1"/>
  <c r="N199" i="1"/>
  <c r="BR9" i="2"/>
  <c r="BQ9" i="2" s="1"/>
  <c r="BP9" i="2" s="1"/>
  <c r="BO9" i="2" s="1"/>
  <c r="BN9" i="2" s="1"/>
  <c r="BM9" i="2" s="1"/>
  <c r="BL9" i="2" s="1"/>
  <c r="BK9" i="2" s="1"/>
  <c r="BJ9" i="2" s="1"/>
  <c r="BI9" i="2" s="1"/>
  <c r="BH9" i="2" s="1"/>
  <c r="BG9" i="2" s="1"/>
  <c r="BF9" i="2" s="1"/>
  <c r="BE9" i="2" s="1"/>
  <c r="BD9" i="2" s="1"/>
  <c r="BC9" i="2" s="1"/>
  <c r="BB9" i="2" s="1"/>
  <c r="BA9" i="2" s="1"/>
  <c r="AZ9" i="2" s="1"/>
  <c r="AY9" i="2" s="1"/>
  <c r="AX9" i="2" s="1"/>
  <c r="AW9" i="2" s="1"/>
  <c r="AV9" i="2" s="1"/>
  <c r="AU9" i="2" s="1"/>
  <c r="AT9" i="2" s="1"/>
  <c r="AS9" i="2" s="1"/>
  <c r="AR9" i="2" s="1"/>
  <c r="AQ9" i="2" s="1"/>
  <c r="AP9" i="2" s="1"/>
  <c r="AO9" i="2" s="1"/>
  <c r="AN9" i="2" s="1"/>
  <c r="AM9" i="2" s="1"/>
  <c r="AL9" i="2" s="1"/>
  <c r="AK9" i="2" s="1"/>
  <c r="AJ9" i="2" s="1"/>
  <c r="AI9" i="2" s="1"/>
  <c r="AH9" i="2" s="1"/>
  <c r="AG9" i="2" s="1"/>
  <c r="AF9" i="2" s="1"/>
  <c r="AE9" i="2" s="1"/>
  <c r="AD9" i="2" s="1"/>
  <c r="AC9" i="2" s="1"/>
  <c r="AB9" i="2" s="1"/>
  <c r="AA9" i="2" s="1"/>
  <c r="Z9" i="2" s="1"/>
  <c r="Y9" i="2" s="1"/>
  <c r="X9" i="2" s="1"/>
  <c r="W9" i="2" s="1"/>
  <c r="V9" i="2" s="1"/>
  <c r="U9" i="2" s="1"/>
  <c r="T9" i="2" s="1"/>
  <c r="S9" i="2" s="1"/>
  <c r="R9" i="2" s="1"/>
  <c r="Q9" i="2" s="1"/>
  <c r="P9" i="2" s="1"/>
  <c r="O9" i="2" s="1"/>
  <c r="N9" i="2" s="1"/>
  <c r="M9" i="2" s="1"/>
  <c r="L9" i="2" s="1"/>
  <c r="K9" i="2" s="1"/>
  <c r="J9" i="2" s="1"/>
  <c r="I9" i="2" s="1"/>
  <c r="H9" i="2" s="1"/>
  <c r="G9" i="2" s="1"/>
  <c r="F9" i="2" s="1"/>
  <c r="E9" i="2" s="1"/>
  <c r="D9" i="2" s="1"/>
  <c r="C9" i="2" s="1"/>
  <c r="B9" i="2" s="1"/>
  <c r="BS2" i="2"/>
  <c r="BR2" i="2" s="1"/>
  <c r="BQ2" i="2" s="1"/>
  <c r="BP2" i="2" s="1"/>
  <c r="BO2" i="2" s="1"/>
  <c r="BN2" i="2" s="1"/>
  <c r="BM2" i="2" s="1"/>
  <c r="BL2" i="2" s="1"/>
  <c r="BK2" i="2" s="1"/>
  <c r="BJ2" i="2" s="1"/>
  <c r="BI2" i="2" s="1"/>
  <c r="BH2" i="2" s="1"/>
  <c r="BG2" i="2" s="1"/>
  <c r="BF2" i="2" s="1"/>
  <c r="BE2" i="2" s="1"/>
  <c r="BD2" i="2" s="1"/>
  <c r="BC2" i="2" s="1"/>
  <c r="BB2" i="2" s="1"/>
  <c r="BA2" i="2" s="1"/>
  <c r="AZ2" i="2" s="1"/>
  <c r="AY2" i="2" s="1"/>
  <c r="AX2" i="2" s="1"/>
  <c r="AW2" i="2" s="1"/>
  <c r="AV2" i="2" s="1"/>
  <c r="AU2" i="2" s="1"/>
  <c r="AT2" i="2" s="1"/>
  <c r="AS2" i="2" s="1"/>
  <c r="AR2" i="2" s="1"/>
  <c r="AQ2" i="2" s="1"/>
  <c r="AP2" i="2" s="1"/>
  <c r="AO2" i="2" s="1"/>
  <c r="AN2" i="2" s="1"/>
  <c r="AM2" i="2" s="1"/>
  <c r="AL2" i="2" s="1"/>
  <c r="AK2" i="2" s="1"/>
  <c r="AJ2" i="2" s="1"/>
  <c r="AI2" i="2" s="1"/>
  <c r="AH2" i="2" s="1"/>
  <c r="AG2" i="2" s="1"/>
  <c r="AF2" i="2" s="1"/>
  <c r="AE2" i="2" s="1"/>
  <c r="AD2" i="2" s="1"/>
  <c r="AC2" i="2" s="1"/>
  <c r="AB2" i="2" s="1"/>
  <c r="AA2" i="2" s="1"/>
  <c r="Z2" i="2" s="1"/>
  <c r="Y2" i="2" s="1"/>
  <c r="X2" i="2" s="1"/>
  <c r="W2" i="2" s="1"/>
  <c r="V2" i="2" s="1"/>
  <c r="U2" i="2" s="1"/>
  <c r="T2" i="2" s="1"/>
  <c r="S2" i="2" s="1"/>
  <c r="R2" i="2" s="1"/>
  <c r="Q2" i="2" s="1"/>
  <c r="P2" i="2" s="1"/>
  <c r="O2" i="2" s="1"/>
  <c r="N2" i="2" s="1"/>
  <c r="M2" i="2" s="1"/>
  <c r="L2" i="2" s="1"/>
  <c r="K2" i="2" s="1"/>
  <c r="J2" i="2" s="1"/>
  <c r="I2" i="2" s="1"/>
  <c r="H2" i="2" s="1"/>
  <c r="G2" i="2" s="1"/>
  <c r="F2" i="2" s="1"/>
  <c r="E2" i="2" s="1"/>
  <c r="D2" i="2" s="1"/>
  <c r="C2" i="2" s="1"/>
  <c r="B2" i="2" s="1"/>
  <c r="B1" i="2"/>
  <c r="N19" i="1" s="1"/>
  <c r="C1" i="2"/>
  <c r="D1" i="2"/>
  <c r="N37" i="1" s="1"/>
  <c r="E1" i="2"/>
  <c r="F1" i="2"/>
  <c r="N103" i="1" s="1"/>
  <c r="G1" i="2"/>
  <c r="H1" i="2"/>
  <c r="I1" i="2"/>
  <c r="J1" i="2"/>
  <c r="K1" i="2"/>
  <c r="L1" i="2"/>
  <c r="M1" i="2"/>
  <c r="N1" i="2"/>
  <c r="O1" i="2"/>
  <c r="P1" i="2"/>
  <c r="Q1" i="2"/>
  <c r="R1" i="2"/>
  <c r="S1" i="2"/>
  <c r="T1" i="2"/>
  <c r="U1" i="2"/>
  <c r="V1" i="2"/>
  <c r="W1" i="2"/>
  <c r="X1" i="2"/>
  <c r="Y1" i="2"/>
  <c r="Z1" i="2"/>
  <c r="AA1" i="2"/>
  <c r="AB1" i="2"/>
  <c r="AC1" i="2"/>
  <c r="AD1" i="2"/>
  <c r="AE1" i="2"/>
  <c r="AF1" i="2"/>
  <c r="AG1" i="2"/>
  <c r="AH1" i="2"/>
  <c r="AI1" i="2"/>
  <c r="AJ1" i="2"/>
  <c r="AK1" i="2"/>
  <c r="AL1" i="2"/>
  <c r="AM1" i="2"/>
  <c r="AN1" i="2"/>
  <c r="AO1" i="2"/>
  <c r="AP1" i="2"/>
  <c r="AQ1" i="2"/>
  <c r="AR1" i="2"/>
  <c r="AS1" i="2"/>
  <c r="AT1" i="2"/>
  <c r="AU1" i="2"/>
  <c r="AV1" i="2"/>
  <c r="AW1" i="2"/>
  <c r="AX1" i="2"/>
  <c r="AY1" i="2"/>
  <c r="AZ1" i="2"/>
  <c r="BA1" i="2"/>
  <c r="BB1" i="2"/>
  <c r="BC1" i="2"/>
  <c r="BD1" i="2"/>
  <c r="BE1" i="2"/>
  <c r="BF1" i="2"/>
  <c r="BG1" i="2"/>
  <c r="BH1" i="2"/>
  <c r="BI1" i="2"/>
  <c r="BJ1" i="2"/>
  <c r="BK1" i="2"/>
  <c r="BL1" i="2"/>
  <c r="BM1" i="2"/>
  <c r="BN1" i="2"/>
  <c r="BO1" i="2"/>
  <c r="BP1" i="2"/>
  <c r="BQ1" i="2"/>
  <c r="BS4" i="2"/>
  <c r="BR4" i="2" s="1"/>
  <c r="BQ4" i="2" s="1"/>
  <c r="BP4" i="2" s="1"/>
  <c r="BO4" i="2" s="1"/>
  <c r="BN4" i="2" s="1"/>
  <c r="BM4" i="2" s="1"/>
  <c r="BL4" i="2" s="1"/>
  <c r="BK4" i="2" s="1"/>
  <c r="BJ4" i="2" s="1"/>
  <c r="BI4" i="2" s="1"/>
  <c r="BH4" i="2" s="1"/>
  <c r="BG4" i="2" s="1"/>
  <c r="BF4" i="2" s="1"/>
  <c r="BE4" i="2" s="1"/>
  <c r="BD4" i="2" s="1"/>
  <c r="BC4" i="2" s="1"/>
  <c r="BB4" i="2" s="1"/>
  <c r="BA4" i="2" s="1"/>
  <c r="AZ4" i="2" s="1"/>
  <c r="AY4" i="2" s="1"/>
  <c r="AX4" i="2" s="1"/>
  <c r="AW4" i="2" s="1"/>
  <c r="AV4" i="2" s="1"/>
  <c r="AU4" i="2" s="1"/>
  <c r="AT4" i="2" s="1"/>
  <c r="AS4" i="2" s="1"/>
  <c r="AR4" i="2" s="1"/>
  <c r="AQ4" i="2" s="1"/>
  <c r="AP4" i="2" s="1"/>
  <c r="AO4" i="2" s="1"/>
  <c r="AN4" i="2" s="1"/>
  <c r="AM4" i="2" s="1"/>
  <c r="AL4" i="2" s="1"/>
  <c r="AK4" i="2" s="1"/>
  <c r="AJ4" i="2" s="1"/>
  <c r="AI4" i="2" s="1"/>
  <c r="AH4" i="2" s="1"/>
  <c r="AG4" i="2" s="1"/>
  <c r="AF4" i="2" s="1"/>
  <c r="AE4" i="2" s="1"/>
  <c r="AD4" i="2" s="1"/>
  <c r="AC4" i="2" s="1"/>
  <c r="AB4" i="2" s="1"/>
  <c r="AA4" i="2" s="1"/>
  <c r="Z4" i="2" s="1"/>
  <c r="Y4" i="2" s="1"/>
  <c r="X4" i="2" s="1"/>
  <c r="W4" i="2" s="1"/>
  <c r="V4" i="2" s="1"/>
  <c r="U4" i="2" s="1"/>
  <c r="T4" i="2" s="1"/>
  <c r="S4" i="2" s="1"/>
  <c r="R4" i="2" s="1"/>
  <c r="Q4" i="2" s="1"/>
  <c r="P4" i="2" s="1"/>
  <c r="O4" i="2" s="1"/>
  <c r="N4" i="2" s="1"/>
  <c r="M4" i="2" s="1"/>
  <c r="L4" i="2" s="1"/>
  <c r="K4" i="2" s="1"/>
  <c r="J4" i="2" s="1"/>
  <c r="I4" i="2" s="1"/>
  <c r="H4" i="2" s="1"/>
  <c r="BS5" i="2"/>
  <c r="BR5" i="2" s="1"/>
  <c r="BQ5" i="2" s="1"/>
  <c r="BP5" i="2" s="1"/>
  <c r="BO5" i="2" s="1"/>
  <c r="BN5" i="2" s="1"/>
  <c r="BM5" i="2" s="1"/>
  <c r="BL5" i="2" s="1"/>
  <c r="BK5" i="2" s="1"/>
  <c r="BJ5" i="2" s="1"/>
  <c r="BI5" i="2" s="1"/>
  <c r="BH5" i="2" s="1"/>
  <c r="BG5" i="2" s="1"/>
  <c r="BF5" i="2" s="1"/>
  <c r="BE5" i="2" s="1"/>
  <c r="BD5" i="2" s="1"/>
  <c r="BC5" i="2" s="1"/>
  <c r="BB5" i="2" s="1"/>
  <c r="BA5" i="2" s="1"/>
  <c r="AZ5" i="2" s="1"/>
  <c r="AY5" i="2" s="1"/>
  <c r="AX5" i="2" s="1"/>
  <c r="AW5" i="2" s="1"/>
  <c r="AV5" i="2" s="1"/>
  <c r="AU5" i="2" s="1"/>
  <c r="AT5" i="2" s="1"/>
  <c r="AS5" i="2" s="1"/>
  <c r="AR5" i="2" s="1"/>
  <c r="AQ5" i="2" s="1"/>
  <c r="AP5" i="2" s="1"/>
  <c r="AO5" i="2" s="1"/>
  <c r="AN5" i="2" s="1"/>
  <c r="AM5" i="2" s="1"/>
  <c r="AL5" i="2" s="1"/>
  <c r="AK5" i="2" s="1"/>
  <c r="AJ5" i="2" s="1"/>
  <c r="AI5" i="2" s="1"/>
  <c r="AH5" i="2" s="1"/>
  <c r="AG5" i="2" s="1"/>
  <c r="AF5" i="2" s="1"/>
  <c r="AE5" i="2" s="1"/>
  <c r="AD5" i="2" s="1"/>
  <c r="AC5" i="2" s="1"/>
  <c r="AB5" i="2" s="1"/>
  <c r="AA5" i="2" s="1"/>
  <c r="Z5" i="2" s="1"/>
  <c r="Y5" i="2" s="1"/>
  <c r="X5" i="2" s="1"/>
  <c r="W5" i="2" s="1"/>
  <c r="V5" i="2" s="1"/>
  <c r="U5" i="2" s="1"/>
  <c r="T5" i="2" s="1"/>
  <c r="S5" i="2" s="1"/>
  <c r="R5" i="2" s="1"/>
  <c r="Q5" i="2" s="1"/>
  <c r="P5" i="2" s="1"/>
  <c r="O5" i="2" s="1"/>
  <c r="N5" i="2" s="1"/>
  <c r="M5" i="2" s="1"/>
  <c r="L5" i="2" s="1"/>
  <c r="K5" i="2" s="1"/>
  <c r="J5" i="2" s="1"/>
  <c r="I5" i="2" s="1"/>
  <c r="H5" i="2" s="1"/>
  <c r="G5" i="2" s="1"/>
  <c r="F5" i="2" s="1"/>
  <c r="E5" i="2" s="1"/>
  <c r="D5" i="2" s="1"/>
  <c r="C5" i="2" s="1"/>
  <c r="B5" i="2" s="1"/>
  <c r="BS6" i="2"/>
  <c r="BR6" i="2" s="1"/>
  <c r="BQ6" i="2" s="1"/>
  <c r="BP6" i="2" s="1"/>
  <c r="BO6" i="2" s="1"/>
  <c r="BN6" i="2" s="1"/>
  <c r="BM6" i="2" s="1"/>
  <c r="BL6" i="2" s="1"/>
  <c r="BK6" i="2" s="1"/>
  <c r="BJ6" i="2" s="1"/>
  <c r="BI6" i="2" s="1"/>
  <c r="BH6" i="2" s="1"/>
  <c r="BG6" i="2" s="1"/>
  <c r="BF6" i="2" s="1"/>
  <c r="BE6" i="2" s="1"/>
  <c r="BD6" i="2" s="1"/>
  <c r="BC6" i="2" s="1"/>
  <c r="BB6" i="2" s="1"/>
  <c r="BA6" i="2" s="1"/>
  <c r="AZ6" i="2" s="1"/>
  <c r="AY6" i="2" s="1"/>
  <c r="AX6" i="2" s="1"/>
  <c r="AW6" i="2" s="1"/>
  <c r="AV6" i="2" s="1"/>
  <c r="AU6" i="2" s="1"/>
  <c r="AT6" i="2" s="1"/>
  <c r="AS6" i="2" s="1"/>
  <c r="AR6" i="2" s="1"/>
  <c r="AQ6" i="2" s="1"/>
  <c r="AP6" i="2" s="1"/>
  <c r="AO6" i="2" s="1"/>
  <c r="AN6" i="2" s="1"/>
  <c r="AM6" i="2" s="1"/>
  <c r="AL6" i="2" s="1"/>
  <c r="AK6" i="2" s="1"/>
  <c r="AJ6" i="2" s="1"/>
  <c r="AI6" i="2" s="1"/>
  <c r="AH6" i="2" s="1"/>
  <c r="AG6" i="2" s="1"/>
  <c r="AF6" i="2" s="1"/>
  <c r="AE6" i="2" s="1"/>
  <c r="AD6" i="2" s="1"/>
  <c r="AC6" i="2" s="1"/>
  <c r="AB6" i="2" s="1"/>
  <c r="AA6" i="2" s="1"/>
  <c r="Z6" i="2" s="1"/>
  <c r="Y6" i="2" s="1"/>
  <c r="X6" i="2" s="1"/>
  <c r="W6" i="2" s="1"/>
  <c r="V6" i="2" s="1"/>
  <c r="U6" i="2" s="1"/>
  <c r="T6" i="2" s="1"/>
  <c r="S6" i="2" s="1"/>
  <c r="R6" i="2" s="1"/>
  <c r="Q6" i="2" s="1"/>
  <c r="P6" i="2" s="1"/>
  <c r="O6" i="2" s="1"/>
  <c r="N6" i="2" s="1"/>
  <c r="M6" i="2" s="1"/>
  <c r="L6" i="2" s="1"/>
  <c r="K6" i="2" s="1"/>
  <c r="J6" i="2" s="1"/>
  <c r="I6" i="2" s="1"/>
  <c r="H6" i="2" s="1"/>
  <c r="G6" i="2" s="1"/>
  <c r="F6" i="2" s="1"/>
  <c r="E6" i="2" s="1"/>
  <c r="D6" i="2" s="1"/>
  <c r="C6" i="2" s="1"/>
  <c r="B6" i="2" s="1"/>
  <c r="BS7" i="2"/>
  <c r="BR7" i="2" s="1"/>
  <c r="BQ7" i="2" s="1"/>
  <c r="BP7" i="2" s="1"/>
  <c r="BO7" i="2" s="1"/>
  <c r="BN7" i="2" s="1"/>
  <c r="BM7" i="2" s="1"/>
  <c r="BL7" i="2" s="1"/>
  <c r="BK7" i="2" s="1"/>
  <c r="BJ7" i="2" s="1"/>
  <c r="BI7" i="2" s="1"/>
  <c r="BH7" i="2" s="1"/>
  <c r="BG7" i="2" s="1"/>
  <c r="BF7" i="2" s="1"/>
  <c r="BE7" i="2" s="1"/>
  <c r="BD7" i="2" s="1"/>
  <c r="BC7" i="2" s="1"/>
  <c r="BB7" i="2" s="1"/>
  <c r="BA7" i="2" s="1"/>
  <c r="AZ7" i="2" s="1"/>
  <c r="AY7" i="2" s="1"/>
  <c r="AX7" i="2" s="1"/>
  <c r="AW7" i="2" s="1"/>
  <c r="AV7" i="2" s="1"/>
  <c r="AU7" i="2" s="1"/>
  <c r="AT7" i="2" s="1"/>
  <c r="AS7" i="2" s="1"/>
  <c r="AR7" i="2" s="1"/>
  <c r="AQ7" i="2" s="1"/>
  <c r="AP7" i="2" s="1"/>
  <c r="AO7" i="2" s="1"/>
  <c r="AN7" i="2" s="1"/>
  <c r="AM7" i="2" s="1"/>
  <c r="AL7" i="2" s="1"/>
  <c r="AK7" i="2" s="1"/>
  <c r="AJ7" i="2" s="1"/>
  <c r="AI7" i="2" s="1"/>
  <c r="AH7" i="2" s="1"/>
  <c r="AG7" i="2" s="1"/>
  <c r="AF7" i="2" s="1"/>
  <c r="AE7" i="2" s="1"/>
  <c r="AD7" i="2" s="1"/>
  <c r="AC7" i="2" s="1"/>
  <c r="AB7" i="2" s="1"/>
  <c r="AA7" i="2" s="1"/>
  <c r="Z7" i="2" s="1"/>
  <c r="Y7" i="2" s="1"/>
  <c r="X7" i="2" s="1"/>
  <c r="W7" i="2" s="1"/>
  <c r="V7" i="2" s="1"/>
  <c r="U7" i="2" s="1"/>
  <c r="T7" i="2" s="1"/>
  <c r="S7" i="2" s="1"/>
  <c r="R7" i="2" s="1"/>
  <c r="Q7" i="2" s="1"/>
  <c r="P7" i="2" s="1"/>
  <c r="O7" i="2" s="1"/>
  <c r="N7" i="2" s="1"/>
  <c r="M7" i="2" s="1"/>
  <c r="L7" i="2" s="1"/>
  <c r="K7" i="2" s="1"/>
  <c r="J7" i="2" s="1"/>
  <c r="I7" i="2" s="1"/>
  <c r="H7" i="2" s="1"/>
  <c r="G7" i="2" s="1"/>
  <c r="F7" i="2" s="1"/>
  <c r="E7" i="2" s="1"/>
  <c r="D7" i="2" s="1"/>
  <c r="C7" i="2" s="1"/>
  <c r="B7" i="2" s="1"/>
  <c r="BS8" i="2"/>
  <c r="BR8" i="2" s="1"/>
  <c r="BQ8" i="2" s="1"/>
  <c r="BP8" i="2" s="1"/>
  <c r="BO8" i="2" s="1"/>
  <c r="BN8" i="2" s="1"/>
  <c r="BM8" i="2" s="1"/>
  <c r="BL8" i="2" s="1"/>
  <c r="BK8" i="2" s="1"/>
  <c r="BJ8" i="2" s="1"/>
  <c r="BI8" i="2" s="1"/>
  <c r="BH8" i="2" s="1"/>
  <c r="BG8" i="2" s="1"/>
  <c r="BF8" i="2" s="1"/>
  <c r="BE8" i="2" s="1"/>
  <c r="BD8" i="2" s="1"/>
  <c r="BC8" i="2" s="1"/>
  <c r="BB8" i="2" s="1"/>
  <c r="BA8" i="2" s="1"/>
  <c r="AZ8" i="2" s="1"/>
  <c r="AY8" i="2" s="1"/>
  <c r="AX8" i="2" s="1"/>
  <c r="AW8" i="2" s="1"/>
  <c r="AV8" i="2" s="1"/>
  <c r="AU8" i="2" s="1"/>
  <c r="AT8" i="2" s="1"/>
  <c r="AS8" i="2" s="1"/>
  <c r="AR8" i="2" s="1"/>
  <c r="AQ8" i="2" s="1"/>
  <c r="AP8" i="2" s="1"/>
  <c r="AO8" i="2" s="1"/>
  <c r="AN8" i="2" s="1"/>
  <c r="AM8" i="2" s="1"/>
  <c r="AL8" i="2" s="1"/>
  <c r="AK8" i="2" s="1"/>
  <c r="AJ8" i="2" s="1"/>
  <c r="AI8" i="2" s="1"/>
  <c r="AH8" i="2" s="1"/>
  <c r="AG8" i="2" s="1"/>
  <c r="AF8" i="2" s="1"/>
  <c r="AE8" i="2" s="1"/>
  <c r="AD8" i="2" s="1"/>
  <c r="AC8" i="2" s="1"/>
  <c r="AB8" i="2" s="1"/>
  <c r="AA8" i="2" s="1"/>
  <c r="Z8" i="2" s="1"/>
  <c r="Y8" i="2" s="1"/>
  <c r="X8" i="2" s="1"/>
  <c r="W8" i="2" s="1"/>
  <c r="V8" i="2" s="1"/>
  <c r="U8" i="2" s="1"/>
  <c r="T8" i="2" s="1"/>
  <c r="S8" i="2" s="1"/>
  <c r="R8" i="2" s="1"/>
  <c r="Q8" i="2" s="1"/>
  <c r="P8" i="2" s="1"/>
  <c r="O8" i="2" s="1"/>
  <c r="N8" i="2" s="1"/>
  <c r="M8" i="2" s="1"/>
  <c r="L8" i="2" s="1"/>
  <c r="K8" i="2" s="1"/>
  <c r="J8" i="2" s="1"/>
  <c r="I8" i="2" s="1"/>
  <c r="H8" i="2" s="1"/>
  <c r="G8" i="2" s="1"/>
  <c r="F8" i="2" s="1"/>
  <c r="E8" i="2" s="1"/>
  <c r="D8" i="2" s="1"/>
  <c r="C8" i="2" s="1"/>
  <c r="B8" i="2" s="1"/>
  <c r="BS9" i="2"/>
  <c r="BS3" i="2"/>
  <c r="BR3" i="2" s="1"/>
  <c r="BQ3" i="2" s="1"/>
  <c r="BP3" i="2" s="1"/>
  <c r="BO3" i="2" s="1"/>
  <c r="BN3" i="2" s="1"/>
  <c r="BM3" i="2" s="1"/>
  <c r="BL3" i="2" s="1"/>
  <c r="BK3" i="2" s="1"/>
  <c r="BJ3" i="2" s="1"/>
  <c r="BI3" i="2" s="1"/>
  <c r="BH3" i="2" s="1"/>
  <c r="BG3" i="2" s="1"/>
  <c r="BF3" i="2" s="1"/>
  <c r="BE3" i="2" s="1"/>
  <c r="BD3" i="2" s="1"/>
  <c r="BC3" i="2" s="1"/>
  <c r="BB3" i="2" s="1"/>
  <c r="BA3" i="2" s="1"/>
  <c r="AZ3" i="2" s="1"/>
  <c r="AY3" i="2" s="1"/>
  <c r="AX3" i="2" s="1"/>
  <c r="AW3" i="2" s="1"/>
  <c r="AV3" i="2" s="1"/>
  <c r="AU3" i="2" s="1"/>
  <c r="AT3" i="2" s="1"/>
  <c r="AS3" i="2" s="1"/>
  <c r="AR3" i="2" s="1"/>
  <c r="AQ3" i="2" s="1"/>
  <c r="AP3" i="2" s="1"/>
  <c r="AO3" i="2" s="1"/>
  <c r="AN3" i="2" s="1"/>
  <c r="AM3" i="2" s="1"/>
  <c r="AL3" i="2" s="1"/>
  <c r="AK3" i="2" s="1"/>
  <c r="AJ3" i="2" s="1"/>
  <c r="AI3" i="2" s="1"/>
  <c r="AH3" i="2" s="1"/>
  <c r="AG3" i="2" s="1"/>
  <c r="AF3" i="2" s="1"/>
  <c r="AE3" i="2" s="1"/>
  <c r="AD3" i="2" s="1"/>
  <c r="AC3" i="2" s="1"/>
  <c r="AB3" i="2" s="1"/>
  <c r="AA3" i="2" s="1"/>
  <c r="Z3" i="2" s="1"/>
  <c r="Y3" i="2" s="1"/>
  <c r="X3" i="2" s="1"/>
  <c r="W3" i="2" s="1"/>
  <c r="V3" i="2" s="1"/>
  <c r="U3" i="2" s="1"/>
  <c r="T3" i="2" s="1"/>
  <c r="S3" i="2" s="1"/>
  <c r="R3" i="2" s="1"/>
  <c r="Q3" i="2" s="1"/>
  <c r="P3" i="2" s="1"/>
  <c r="O3" i="2" s="1"/>
  <c r="N3" i="2" s="1"/>
  <c r="M3" i="2" s="1"/>
  <c r="L3" i="2" s="1"/>
  <c r="K3" i="2" s="1"/>
  <c r="J3" i="2" s="1"/>
  <c r="I3" i="2" s="1"/>
  <c r="H3" i="2" s="1"/>
  <c r="G3" i="2" s="1"/>
  <c r="F3" i="2" s="1"/>
  <c r="E3" i="2" s="1"/>
  <c r="D3" i="2" s="1"/>
  <c r="C3" i="2" s="1"/>
  <c r="B3" i="2" s="1"/>
  <c r="M6" i="1"/>
  <c r="N6" i="1" s="1"/>
  <c r="M7" i="1"/>
  <c r="M8" i="1"/>
  <c r="N8" i="1" s="1"/>
  <c r="M9" i="1"/>
  <c r="N9" i="1" s="1"/>
  <c r="M10" i="1"/>
  <c r="N10" i="1" s="1"/>
  <c r="M11" i="1"/>
  <c r="N11" i="1" s="1"/>
  <c r="M12" i="1"/>
  <c r="M13" i="1"/>
  <c r="N13" i="1" s="1"/>
  <c r="M14" i="1"/>
  <c r="M15" i="1"/>
  <c r="N15" i="1" s="1"/>
  <c r="M16" i="1"/>
  <c r="N16" i="1" s="1"/>
  <c r="M17" i="1"/>
  <c r="M18" i="1"/>
  <c r="M19" i="1"/>
  <c r="M20" i="1"/>
  <c r="N20" i="1" s="1"/>
  <c r="M21" i="1"/>
  <c r="M22" i="1"/>
  <c r="M23" i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M34" i="1"/>
  <c r="M35" i="1"/>
  <c r="M36" i="1"/>
  <c r="N36" i="1" s="1"/>
  <c r="M37" i="1"/>
  <c r="M38" i="1"/>
  <c r="M39" i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M50" i="1"/>
  <c r="M51" i="1"/>
  <c r="M52" i="1"/>
  <c r="N52" i="1" s="1"/>
  <c r="M53" i="1"/>
  <c r="M54" i="1"/>
  <c r="M55" i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M66" i="1"/>
  <c r="M67" i="1"/>
  <c r="M68" i="1"/>
  <c r="N68" i="1" s="1"/>
  <c r="M69" i="1"/>
  <c r="M70" i="1"/>
  <c r="M71" i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M82" i="1"/>
  <c r="M83" i="1"/>
  <c r="M84" i="1"/>
  <c r="N84" i="1" s="1"/>
  <c r="M85" i="1"/>
  <c r="M86" i="1"/>
  <c r="M87" i="1"/>
  <c r="M88" i="1"/>
  <c r="N88" i="1" s="1"/>
  <c r="M89" i="1"/>
  <c r="N89" i="1" s="1"/>
  <c r="M90" i="1"/>
  <c r="N90" i="1" s="1"/>
  <c r="M91" i="1"/>
  <c r="N91" i="1" s="1"/>
  <c r="M92" i="1"/>
  <c r="N92" i="1" s="1"/>
  <c r="M93" i="1"/>
  <c r="N93" i="1" s="1"/>
  <c r="M94" i="1"/>
  <c r="N94" i="1" s="1"/>
  <c r="M95" i="1"/>
  <c r="N95" i="1" s="1"/>
  <c r="M96" i="1"/>
  <c r="N96" i="1" s="1"/>
  <c r="M97" i="1"/>
  <c r="M98" i="1"/>
  <c r="M99" i="1"/>
  <c r="M100" i="1"/>
  <c r="N100" i="1" s="1"/>
  <c r="M101" i="1"/>
  <c r="M102" i="1"/>
  <c r="M103" i="1"/>
  <c r="M104" i="1"/>
  <c r="N104" i="1" s="1"/>
  <c r="M105" i="1"/>
  <c r="N105" i="1" s="1"/>
  <c r="M106" i="1"/>
  <c r="N106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M114" i="1"/>
  <c r="M115" i="1"/>
  <c r="M116" i="1"/>
  <c r="N116" i="1" s="1"/>
  <c r="M117" i="1"/>
  <c r="M118" i="1"/>
  <c r="M119" i="1"/>
  <c r="M120" i="1"/>
  <c r="N120" i="1" s="1"/>
  <c r="M121" i="1"/>
  <c r="N121" i="1" s="1"/>
  <c r="M122" i="1"/>
  <c r="N122" i="1" s="1"/>
  <c r="M123" i="1"/>
  <c r="N123" i="1" s="1"/>
  <c r="M124" i="1"/>
  <c r="N124" i="1" s="1"/>
  <c r="M125" i="1"/>
  <c r="N125" i="1" s="1"/>
  <c r="M126" i="1"/>
  <c r="N126" i="1" s="1"/>
  <c r="M127" i="1"/>
  <c r="N127" i="1" s="1"/>
  <c r="M128" i="1"/>
  <c r="N128" i="1" s="1"/>
  <c r="M129" i="1"/>
  <c r="M130" i="1"/>
  <c r="M131" i="1"/>
  <c r="M132" i="1"/>
  <c r="N132" i="1" s="1"/>
  <c r="M133" i="1"/>
  <c r="M134" i="1"/>
  <c r="M135" i="1"/>
  <c r="M136" i="1"/>
  <c r="N136" i="1" s="1"/>
  <c r="M137" i="1"/>
  <c r="N137" i="1" s="1"/>
  <c r="M138" i="1"/>
  <c r="N138" i="1" s="1"/>
  <c r="M139" i="1"/>
  <c r="N139" i="1" s="1"/>
  <c r="M140" i="1"/>
  <c r="N140" i="1" s="1"/>
  <c r="M141" i="1"/>
  <c r="N141" i="1" s="1"/>
  <c r="M142" i="1"/>
  <c r="N142" i="1" s="1"/>
  <c r="M143" i="1"/>
  <c r="N143" i="1" s="1"/>
  <c r="M144" i="1"/>
  <c r="N144" i="1" s="1"/>
  <c r="M145" i="1"/>
  <c r="M146" i="1"/>
  <c r="M147" i="1"/>
  <c r="M148" i="1"/>
  <c r="N148" i="1" s="1"/>
  <c r="M149" i="1"/>
  <c r="M150" i="1"/>
  <c r="M151" i="1"/>
  <c r="M152" i="1"/>
  <c r="N152" i="1" s="1"/>
  <c r="M153" i="1"/>
  <c r="N153" i="1" s="1"/>
  <c r="M154" i="1"/>
  <c r="N154" i="1" s="1"/>
  <c r="M155" i="1"/>
  <c r="N155" i="1" s="1"/>
  <c r="M156" i="1"/>
  <c r="N156" i="1" s="1"/>
  <c r="M157" i="1"/>
  <c r="N157" i="1" s="1"/>
  <c r="M158" i="1"/>
  <c r="N158" i="1" s="1"/>
  <c r="M159" i="1"/>
  <c r="N159" i="1" s="1"/>
  <c r="M160" i="1"/>
  <c r="N160" i="1" s="1"/>
  <c r="M161" i="1"/>
  <c r="M162" i="1"/>
  <c r="M163" i="1"/>
  <c r="M164" i="1"/>
  <c r="N164" i="1" s="1"/>
  <c r="M165" i="1"/>
  <c r="M166" i="1"/>
  <c r="M167" i="1"/>
  <c r="M168" i="1"/>
  <c r="N168" i="1" s="1"/>
  <c r="M169" i="1"/>
  <c r="N169" i="1" s="1"/>
  <c r="M170" i="1"/>
  <c r="N170" i="1" s="1"/>
  <c r="M171" i="1"/>
  <c r="N171" i="1" s="1"/>
  <c r="M172" i="1"/>
  <c r="N172" i="1" s="1"/>
  <c r="M173" i="1"/>
  <c r="N173" i="1" s="1"/>
  <c r="M174" i="1"/>
  <c r="N174" i="1" s="1"/>
  <c r="M175" i="1"/>
  <c r="N175" i="1" s="1"/>
  <c r="M176" i="1"/>
  <c r="N176" i="1" s="1"/>
  <c r="M177" i="1"/>
  <c r="M178" i="1"/>
  <c r="M179" i="1"/>
  <c r="M180" i="1"/>
  <c r="N180" i="1" s="1"/>
  <c r="M181" i="1"/>
  <c r="M182" i="1"/>
  <c r="M183" i="1"/>
  <c r="M184" i="1"/>
  <c r="N184" i="1" s="1"/>
  <c r="M185" i="1"/>
  <c r="N185" i="1" s="1"/>
  <c r="M186" i="1"/>
  <c r="N186" i="1" s="1"/>
  <c r="M187" i="1"/>
  <c r="N187" i="1" s="1"/>
  <c r="M188" i="1"/>
  <c r="N188" i="1" s="1"/>
  <c r="M189" i="1"/>
  <c r="N189" i="1" s="1"/>
  <c r="M190" i="1"/>
  <c r="N190" i="1" s="1"/>
  <c r="M191" i="1"/>
  <c r="N191" i="1" s="1"/>
  <c r="M192" i="1"/>
  <c r="N192" i="1" s="1"/>
  <c r="M193" i="1"/>
  <c r="M194" i="1"/>
  <c r="M195" i="1"/>
  <c r="M196" i="1"/>
  <c r="N196" i="1" s="1"/>
  <c r="M197" i="1"/>
  <c r="M198" i="1"/>
  <c r="M199" i="1"/>
  <c r="M200" i="1"/>
  <c r="N200" i="1" s="1"/>
  <c r="M201" i="1"/>
  <c r="N201" i="1" s="1"/>
  <c r="M202" i="1"/>
  <c r="N202" i="1" s="1"/>
  <c r="M203" i="1"/>
  <c r="N203" i="1" s="1"/>
  <c r="M204" i="1"/>
  <c r="N204" i="1" s="1"/>
  <c r="M205" i="1"/>
  <c r="N205" i="1" s="1"/>
  <c r="M206" i="1"/>
  <c r="N206" i="1" s="1"/>
  <c r="M207" i="1"/>
  <c r="N207" i="1" s="1"/>
  <c r="M3" i="1"/>
  <c r="N3" i="1" s="1"/>
  <c r="M4" i="1"/>
  <c r="N4" i="1" s="1"/>
  <c r="M5" i="1"/>
  <c r="M2" i="1"/>
  <c r="N2" i="1" s="1"/>
  <c r="N178" i="1" l="1"/>
  <c r="N146" i="1"/>
  <c r="N114" i="1"/>
  <c r="N82" i="1"/>
  <c r="N50" i="1"/>
  <c r="N34" i="1"/>
  <c r="N193" i="1"/>
  <c r="N177" i="1"/>
  <c r="N161" i="1"/>
  <c r="N145" i="1"/>
  <c r="N129" i="1"/>
  <c r="N17" i="1"/>
  <c r="N194" i="1"/>
  <c r="N162" i="1"/>
  <c r="N130" i="1"/>
  <c r="N98" i="1"/>
  <c r="N66" i="1"/>
  <c r="N49" i="1"/>
  <c r="N167" i="1"/>
  <c r="N135" i="1"/>
  <c r="N119" i="1"/>
  <c r="N87" i="1"/>
  <c r="N71" i="1"/>
  <c r="N55" i="1"/>
  <c r="N39" i="1"/>
  <c r="N23" i="1"/>
  <c r="N198" i="1"/>
  <c r="N182" i="1"/>
  <c r="N166" i="1"/>
  <c r="N150" i="1"/>
  <c r="N134" i="1"/>
  <c r="N118" i="1"/>
  <c r="N102" i="1"/>
  <c r="N86" i="1"/>
  <c r="N70" i="1"/>
  <c r="N54" i="1"/>
  <c r="N38" i="1"/>
  <c r="N22" i="1"/>
  <c r="N183" i="1"/>
  <c r="N151" i="1"/>
  <c r="N197" i="1"/>
  <c r="N181" i="1"/>
  <c r="N165" i="1"/>
  <c r="N149" i="1"/>
  <c r="N133" i="1"/>
  <c r="N117" i="1"/>
  <c r="N101" i="1"/>
  <c r="N85" i="1"/>
  <c r="N69" i="1"/>
  <c r="N53" i="1"/>
  <c r="N195" i="1"/>
  <c r="N179" i="1"/>
  <c r="N163" i="1"/>
  <c r="N147" i="1"/>
  <c r="N131" i="1"/>
  <c r="N115" i="1"/>
  <c r="N99" i="1"/>
  <c r="N83" i="1"/>
  <c r="N67" i="1"/>
  <c r="N51" i="1"/>
  <c r="N35" i="1"/>
  <c r="G4" i="2"/>
  <c r="F4" i="2" s="1"/>
  <c r="E4" i="2" s="1"/>
  <c r="D4" i="2" s="1"/>
  <c r="C4" i="2" s="1"/>
  <c r="B4" i="2" s="1"/>
</calcChain>
</file>

<file path=xl/sharedStrings.xml><?xml version="1.0" encoding="utf-8"?>
<sst xmlns="http://schemas.openxmlformats.org/spreadsheetml/2006/main" count="1248" uniqueCount="362">
  <si>
    <t>Year</t>
  </si>
  <si>
    <t>Quarter</t>
  </si>
  <si>
    <t>FirstDay</t>
  </si>
  <si>
    <t>LastDay</t>
  </si>
  <si>
    <t>Event</t>
  </si>
  <si>
    <t>Type</t>
  </si>
  <si>
    <t>Location</t>
  </si>
  <si>
    <t>OriginalCost</t>
  </si>
  <si>
    <t>NormCost2011</t>
  </si>
  <si>
    <t>NormCost2014</t>
  </si>
  <si>
    <t>State</t>
  </si>
  <si>
    <t>Year-Quart</t>
  </si>
  <si>
    <t>exposure</t>
  </si>
  <si>
    <t>Cyclone</t>
  </si>
  <si>
    <t>QLD</t>
  </si>
  <si>
    <t>NA</t>
  </si>
  <si>
    <t>Queensland</t>
  </si>
  <si>
    <t>Bushfires</t>
  </si>
  <si>
    <t>Bushfire</t>
  </si>
  <si>
    <t>Perth</t>
  </si>
  <si>
    <t>Western Australia</t>
  </si>
  <si>
    <t>NSW (various locations)</t>
  </si>
  <si>
    <t>New South Wales</t>
  </si>
  <si>
    <t>Inundation , Storms</t>
  </si>
  <si>
    <t>Storm</t>
  </si>
  <si>
    <t>Northern NSW</t>
  </si>
  <si>
    <t>Coonabarabran</t>
  </si>
  <si>
    <t>TAS</t>
  </si>
  <si>
    <t>Tasmania</t>
  </si>
  <si>
    <t>Flooding</t>
  </si>
  <si>
    <t>Flood</t>
  </si>
  <si>
    <t>NSW , VIC</t>
  </si>
  <si>
    <t>Victoria</t>
  </si>
  <si>
    <t>SW QLD</t>
  </si>
  <si>
    <t>Christmas Day Storms</t>
  </si>
  <si>
    <t>Melbourne</t>
  </si>
  <si>
    <t>Margaret River Bushfires</t>
  </si>
  <si>
    <t>Margaret River</t>
  </si>
  <si>
    <t>Perth Bushfires</t>
  </si>
  <si>
    <t>Perth and surrounds</t>
  </si>
  <si>
    <t>Severe Storms</t>
  </si>
  <si>
    <t>Melbourne and suburbs</t>
  </si>
  <si>
    <t>Cyclone Yasi</t>
  </si>
  <si>
    <t>VIC</t>
  </si>
  <si>
    <t>QLD, Rural Toowoomba, Lockyer Valley</t>
  </si>
  <si>
    <t>Perth Storm</t>
  </si>
  <si>
    <t>Melbourne Storm</t>
  </si>
  <si>
    <t>West QLD flooding</t>
  </si>
  <si>
    <t>Toodyay Bushfires</t>
  </si>
  <si>
    <t>Toodyay WA</t>
  </si>
  <si>
    <t>Inundation , Storm Damage</t>
  </si>
  <si>
    <t>South East Queensland , Northern NSW</t>
  </si>
  <si>
    <t>Victorian fires</t>
  </si>
  <si>
    <t>Other</t>
  </si>
  <si>
    <t>Floods</t>
  </si>
  <si>
    <t>Far North Queensland</t>
  </si>
  <si>
    <t>Brisbane storms</t>
  </si>
  <si>
    <t>Brisbane</t>
  </si>
  <si>
    <t>Gas Supply Disruption Varanus Isl,</t>
  </si>
  <si>
    <t>Wind Storm</t>
  </si>
  <si>
    <t>SA, TAS , VIC</t>
  </si>
  <si>
    <t>Flood Storm</t>
  </si>
  <si>
    <t>Flood, Storm</t>
  </si>
  <si>
    <t>Mackay</t>
  </si>
  <si>
    <t>Flood Storms</t>
  </si>
  <si>
    <t>Emerald</t>
  </si>
  <si>
    <t>Northern Rivers</t>
  </si>
  <si>
    <t>Severe Hailstorms</t>
  </si>
  <si>
    <t>Hailstorm</t>
  </si>
  <si>
    <t>Western Sydney, Blacktown</t>
  </si>
  <si>
    <t>Lismore Region</t>
  </si>
  <si>
    <t>Severe Storm</t>
  </si>
  <si>
    <t>Newcastle , Hunter Valley</t>
  </si>
  <si>
    <t>Hail Storm</t>
  </si>
  <si>
    <t>Gippsland VIC</t>
  </si>
  <si>
    <t>Cyclone George , Jacob</t>
  </si>
  <si>
    <t>George , Jacob - Pilbara WA</t>
  </si>
  <si>
    <t>Wagga Wagga NSW</t>
  </si>
  <si>
    <t>Nyngan NSW</t>
  </si>
  <si>
    <t>Hail</t>
  </si>
  <si>
    <t>Newcastle , Lower Hunter Valley</t>
  </si>
  <si>
    <t>South West WA</t>
  </si>
  <si>
    <t>Cyclone Larry</t>
  </si>
  <si>
    <t>Larry - North QLD</t>
  </si>
  <si>
    <t>Widespread</t>
  </si>
  <si>
    <t>North, West , East VIC</t>
  </si>
  <si>
    <t>Hunter Valley</t>
  </si>
  <si>
    <t>Central West NSW</t>
  </si>
  <si>
    <t>Broken Hill</t>
  </si>
  <si>
    <t>Gold Coast</t>
  </si>
  <si>
    <t>SE QLD</t>
  </si>
  <si>
    <t>NE NSW</t>
  </si>
  <si>
    <t>Bunbury, South Perth</t>
  </si>
  <si>
    <t>Hail, Storm</t>
  </si>
  <si>
    <t>Eastern Seaboard</t>
  </si>
  <si>
    <t>Eyre Peninsula</t>
  </si>
  <si>
    <t>South Australia</t>
  </si>
  <si>
    <t>Tsunami</t>
  </si>
  <si>
    <t>South East Asia</t>
  </si>
  <si>
    <t>Sydney , Lismore</t>
  </si>
  <si>
    <t>Brisbane, Gold Coast</t>
  </si>
  <si>
    <t>Brisbane, SE, SW</t>
  </si>
  <si>
    <t>Canberra</t>
  </si>
  <si>
    <t>Australian Capital Territory</t>
  </si>
  <si>
    <t>Eastern Border Region</t>
  </si>
  <si>
    <t>South East</t>
  </si>
  <si>
    <t>Engadine , Glenorie</t>
  </si>
  <si>
    <t>Sydney</t>
  </si>
  <si>
    <t>Coastal Border</t>
  </si>
  <si>
    <t>Sydney , Coast</t>
  </si>
  <si>
    <t>Sydney , Surrounds</t>
  </si>
  <si>
    <t>Storm, Tornado</t>
  </si>
  <si>
    <t>Tornado</t>
  </si>
  <si>
    <t>Sydney , Port Stephens</t>
  </si>
  <si>
    <t>Nth Coast, Grafton, Kempsey</t>
  </si>
  <si>
    <t>Casino</t>
  </si>
  <si>
    <t>Dubbo</t>
  </si>
  <si>
    <t>Vic Peninsula</t>
  </si>
  <si>
    <t>Cyclone Paul</t>
  </si>
  <si>
    <t>Nth WA</t>
  </si>
  <si>
    <t>Cyclone Tessi</t>
  </si>
  <si>
    <t>Nth QLD</t>
  </si>
  <si>
    <t>Cyclone George</t>
  </si>
  <si>
    <t>Cyclone Steve</t>
  </si>
  <si>
    <t>Far Nth</t>
  </si>
  <si>
    <t>Longreach</t>
  </si>
  <si>
    <t>Wollongong</t>
  </si>
  <si>
    <t>Cyclone Vance</t>
  </si>
  <si>
    <t>Exmouth, Onslow</t>
  </si>
  <si>
    <t>Moora</t>
  </si>
  <si>
    <t>Cyclone Rona</t>
  </si>
  <si>
    <t>SEQLD</t>
  </si>
  <si>
    <t>East Gippsland</t>
  </si>
  <si>
    <t>Katherine</t>
  </si>
  <si>
    <t>Northern Territory</t>
  </si>
  <si>
    <t>Townsville</t>
  </si>
  <si>
    <t>Nyngan</t>
  </si>
  <si>
    <t>Menai</t>
  </si>
  <si>
    <t>Grafton</t>
  </si>
  <si>
    <t>SE</t>
  </si>
  <si>
    <t>Cyclone Justin</t>
  </si>
  <si>
    <t>Cairns</t>
  </si>
  <si>
    <t>Ferny Creek</t>
  </si>
  <si>
    <t>Singleton</t>
  </si>
  <si>
    <t>Coffs Harbour</t>
  </si>
  <si>
    <t>Tamworth</t>
  </si>
  <si>
    <t>Armidale , Tamworth</t>
  </si>
  <si>
    <t>Cyclone Olivia</t>
  </si>
  <si>
    <t>Pannawonica</t>
  </si>
  <si>
    <t>Cyclone Bobby</t>
  </si>
  <si>
    <t>Kalgoolie</t>
  </si>
  <si>
    <t>Earthquake</t>
  </si>
  <si>
    <t>Cessnock</t>
  </si>
  <si>
    <t>Benalla , Shepparton</t>
  </si>
  <si>
    <t>Melbourne , Ballarat</t>
  </si>
  <si>
    <t>Central Coast</t>
  </si>
  <si>
    <t>SE NSW</t>
  </si>
  <si>
    <t>Orbost</t>
  </si>
  <si>
    <t>Adelaide</t>
  </si>
  <si>
    <t>Rockhampton to Cairns</t>
  </si>
  <si>
    <t>NSW/QLD Nyngan , Charlivlle</t>
  </si>
  <si>
    <t>Cyclone Nancy</t>
  </si>
  <si>
    <t>Sydney to Brisbane</t>
  </si>
  <si>
    <t>Newcastle</t>
  </si>
  <si>
    <t>Ballarat</t>
  </si>
  <si>
    <t>Cyclone Aivu</t>
  </si>
  <si>
    <t>Townsville to Mackay</t>
  </si>
  <si>
    <t>SW WA</t>
  </si>
  <si>
    <t>Cyclone Herbie</t>
  </si>
  <si>
    <t>Carnarvon to Denham</t>
  </si>
  <si>
    <t>Alice Springs</t>
  </si>
  <si>
    <t>East Perth</t>
  </si>
  <si>
    <t>Southern</t>
  </si>
  <si>
    <t>Western Sydney</t>
  </si>
  <si>
    <t>Cyclone Winifred</t>
  </si>
  <si>
    <t>Cairns to Ingham</t>
  </si>
  <si>
    <t>Orange</t>
  </si>
  <si>
    <t>Central , Southern</t>
  </si>
  <si>
    <t>Cyclone Kathy</t>
  </si>
  <si>
    <t>Borroloola</t>
  </si>
  <si>
    <t>Bushfire Ash Wednesday</t>
  </si>
  <si>
    <t>Dalby</t>
  </si>
  <si>
    <t>Brighton</t>
  </si>
  <si>
    <t>Cyclone Carol</t>
  </si>
  <si>
    <t>Adelaide Hills</t>
  </si>
  <si>
    <t>Cyclone Dean</t>
  </si>
  <si>
    <t>Pilbara</t>
  </si>
  <si>
    <t>Cyclone Amy</t>
  </si>
  <si>
    <t>Port Headland</t>
  </si>
  <si>
    <t>Port Broughton</t>
  </si>
  <si>
    <t>Cadoux</t>
  </si>
  <si>
    <t>Cyclone Hazel</t>
  </si>
  <si>
    <t>Kimberley , Pilbara Coast</t>
  </si>
  <si>
    <t>Cyclone Alby</t>
  </si>
  <si>
    <t>North Coast</t>
  </si>
  <si>
    <t>Sydney, Newcastle, Wollongong</t>
  </si>
  <si>
    <t>Clarence River</t>
  </si>
  <si>
    <t>Western Districts</t>
  </si>
  <si>
    <t>Tongala, Echuca</t>
  </si>
  <si>
    <t>Cyclone Harry</t>
  </si>
  <si>
    <t>Cyclone Beth</t>
  </si>
  <si>
    <t>Bundaberg</t>
  </si>
  <si>
    <t>Toowoomba</t>
  </si>
  <si>
    <t>Cyclone Thelma</t>
  </si>
  <si>
    <t>Cyclone Tracy</t>
  </si>
  <si>
    <t>Darwin</t>
  </si>
  <si>
    <t>NE VIC</t>
  </si>
  <si>
    <t>Cyclone Zoe</t>
  </si>
  <si>
    <t>Port Macquarie to Brisbane</t>
  </si>
  <si>
    <t>Cyclone, W,a Flood</t>
  </si>
  <si>
    <t>Cyclone Leah</t>
  </si>
  <si>
    <t>Northern Australia</t>
  </si>
  <si>
    <t>Cyclone Daisy</t>
  </si>
  <si>
    <t>Brisbane , the Gold Coast</t>
  </si>
  <si>
    <t>Cyclone Althea</t>
  </si>
  <si>
    <t>Gippsland</t>
  </si>
  <si>
    <t>North</t>
  </si>
  <si>
    <t>Cyclone Ada</t>
  </si>
  <si>
    <t>Bowen , Mackay</t>
  </si>
  <si>
    <t>Meckering</t>
  </si>
  <si>
    <t>Hobart</t>
  </si>
  <si>
    <t>1981-Q1</t>
  </si>
  <si>
    <t>1981-Q2</t>
  </si>
  <si>
    <t>1981-Q3</t>
  </si>
  <si>
    <t>1981-Q4</t>
  </si>
  <si>
    <t>1982-Q1</t>
  </si>
  <si>
    <t>1982-Q2</t>
  </si>
  <si>
    <t>1982-Q3</t>
  </si>
  <si>
    <t>1982-Q4</t>
  </si>
  <si>
    <t>1983-Q1</t>
  </si>
  <si>
    <t>1983-Q2</t>
  </si>
  <si>
    <t>1983-Q3</t>
  </si>
  <si>
    <t>1983-Q4</t>
  </si>
  <si>
    <t>1984-Q1</t>
  </si>
  <si>
    <t>1984-Q2</t>
  </si>
  <si>
    <t>1984-Q3</t>
  </si>
  <si>
    <t>1984-Q4</t>
  </si>
  <si>
    <t>1985-Q1</t>
  </si>
  <si>
    <t>1985-Q2</t>
  </si>
  <si>
    <t>1985-Q3</t>
  </si>
  <si>
    <t>1985-Q4</t>
  </si>
  <si>
    <t>1986-Q1</t>
  </si>
  <si>
    <t>1986-Q2</t>
  </si>
  <si>
    <t>1986-Q3</t>
  </si>
  <si>
    <t>1986-Q4</t>
  </si>
  <si>
    <t>1987-Q1</t>
  </si>
  <si>
    <t>1987-Q2</t>
  </si>
  <si>
    <t>1987-Q3</t>
  </si>
  <si>
    <t>1987-Q4</t>
  </si>
  <si>
    <t>1988-Q1</t>
  </si>
  <si>
    <t>1988-Q2</t>
  </si>
  <si>
    <t>1988-Q3</t>
  </si>
  <si>
    <t>1988-Q4</t>
  </si>
  <si>
    <t>1989-Q1</t>
  </si>
  <si>
    <t>1989-Q2</t>
  </si>
  <si>
    <t>1989-Q3</t>
  </si>
  <si>
    <t>1989-Q4</t>
  </si>
  <si>
    <t>1990-Q1</t>
  </si>
  <si>
    <t>1990-Q2</t>
  </si>
  <si>
    <t>1990-Q3</t>
  </si>
  <si>
    <t>1990-Q4</t>
  </si>
  <si>
    <t>1991-Q1</t>
  </si>
  <si>
    <t>1991-Q2</t>
  </si>
  <si>
    <t>1991-Q3</t>
  </si>
  <si>
    <t>1991-Q4</t>
  </si>
  <si>
    <t>1992-Q1</t>
  </si>
  <si>
    <t>1992-Q2</t>
  </si>
  <si>
    <t>1992-Q3</t>
  </si>
  <si>
    <t>1992-Q4</t>
  </si>
  <si>
    <t>1993-Q1</t>
  </si>
  <si>
    <t>1993-Q2</t>
  </si>
  <si>
    <t>1993-Q3</t>
  </si>
  <si>
    <t>1993-Q4</t>
  </si>
  <si>
    <t>1994-Q1</t>
  </si>
  <si>
    <t>1994-Q2</t>
  </si>
  <si>
    <t>1994-Q3</t>
  </si>
  <si>
    <t>1994-Q4</t>
  </si>
  <si>
    <t>1995-Q1</t>
  </si>
  <si>
    <t>1995-Q2</t>
  </si>
  <si>
    <t>1995-Q3</t>
  </si>
  <si>
    <t>1995-Q4</t>
  </si>
  <si>
    <t>1996-Q1</t>
  </si>
  <si>
    <t>1996-Q2</t>
  </si>
  <si>
    <t>1996-Q3</t>
  </si>
  <si>
    <t>1996-Q4</t>
  </si>
  <si>
    <t>1997-Q1</t>
  </si>
  <si>
    <t>1997-Q2</t>
  </si>
  <si>
    <t>1997-Q3</t>
  </si>
  <si>
    <t>1997-Q4</t>
  </si>
  <si>
    <t>1998-Q1</t>
  </si>
  <si>
    <t>1998-Q2</t>
  </si>
  <si>
    <t>1998-Q3</t>
  </si>
  <si>
    <t>1998-Q4</t>
  </si>
  <si>
    <t>1999-Q1</t>
  </si>
  <si>
    <t>1999-Q2</t>
  </si>
  <si>
    <t>1999-Q3</t>
  </si>
  <si>
    <t>1999-Q4</t>
  </si>
  <si>
    <t>2000-Q1</t>
  </si>
  <si>
    <t>2000-Q2</t>
  </si>
  <si>
    <t>2000-Q3</t>
  </si>
  <si>
    <t>2000-Q4</t>
  </si>
  <si>
    <t>2001-Q1</t>
  </si>
  <si>
    <t>2001-Q2</t>
  </si>
  <si>
    <t>2001-Q3</t>
  </si>
  <si>
    <t>2001-Q4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</si>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</sst>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</font>
    <font>
      <sz val="11"/>
      <name val="Calibri"/>
    </font>
    <font>
      <sz val="11"/>
      <color rgb="FFFFFFFF"/>
      <name val="Calibri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F0FF"/>
      </patternFill>
    </fill>
    <fill>
      <patternFill patternType="solid">
        <fgColor rgb="FF326297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20" fillId="34" borderId="10" xfId="0" applyFont="1" applyFill="1" applyBorder="1" applyAlignment="1">
      <alignment horizontal="center" vertical="top" readingOrder="1"/>
    </xf>
    <xf numFmtId="0" fontId="18" fillId="33" borderId="10" xfId="0" applyFont="1" applyFill="1" applyBorder="1" applyAlignment="1">
      <alignment horizontal="left" vertical="top" readingOrder="1"/>
    </xf>
    <xf numFmtId="3" fontId="19" fillId="0" borderId="10" xfId="0" applyNumberFormat="1" applyFont="1" applyBorder="1" applyAlignment="1">
      <alignment horizontal="right" readingOrder="1"/>
    </xf>
    <xf numFmtId="164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EBBC9-FFA1-45DB-A3EE-4AF42CC27C04}">
  <dimension ref="A1:N207"/>
  <sheetViews>
    <sheetView tabSelected="1" workbookViewId="0">
      <selection activeCell="P4" sqref="P4"/>
    </sheetView>
  </sheetViews>
  <sheetFormatPr defaultRowHeight="14.45"/>
  <cols>
    <col min="1" max="1" width="3.85546875" bestFit="1" customWidth="1"/>
    <col min="2" max="2" width="4.85546875" bestFit="1" customWidth="1"/>
    <col min="3" max="3" width="7.42578125" bestFit="1" customWidth="1"/>
    <col min="4" max="5" width="10.140625" bestFit="1" customWidth="1"/>
    <col min="6" max="6" width="30.5703125" bestFit="1" customWidth="1"/>
    <col min="7" max="7" width="11.5703125" bestFit="1" customWidth="1"/>
    <col min="8" max="8" width="34.42578125" bestFit="1" customWidth="1"/>
    <col min="9" max="9" width="11.42578125" bestFit="1" customWidth="1"/>
    <col min="10" max="11" width="13.42578125" bestFit="1" customWidth="1"/>
    <col min="12" max="12" width="23.85546875" bestFit="1" customWidth="1"/>
    <col min="13" max="13" width="10.140625" bestFit="1" customWidth="1"/>
    <col min="14" max="14" width="10.140625" style="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5" t="s">
        <v>12</v>
      </c>
    </row>
    <row r="2" spans="1:14">
      <c r="A2">
        <v>1</v>
      </c>
      <c r="B2">
        <v>2014</v>
      </c>
      <c r="C2">
        <v>2</v>
      </c>
      <c r="D2" s="1">
        <v>41740</v>
      </c>
      <c r="E2" s="1">
        <v>41745</v>
      </c>
      <c r="F2" t="s">
        <v>13</v>
      </c>
      <c r="G2" t="s">
        <v>13</v>
      </c>
      <c r="H2" t="s">
        <v>14</v>
      </c>
      <c r="I2">
        <v>8.4</v>
      </c>
      <c r="J2" t="s">
        <v>15</v>
      </c>
      <c r="K2">
        <v>8.4870000000000001</v>
      </c>
      <c r="L2" t="s">
        <v>16</v>
      </c>
      <c r="M2" t="str">
        <f>B2&amp;"-Q"&amp;C2</f>
        <v>2014-Q2</v>
      </c>
      <c r="N2" s="5">
        <f>INDEX(Sheet1!$B$2:$GX$9, MATCH(auscathist!L2, Sheet1!$A$2:$A$9, 0), MATCH(auscathist!M2, Sheet1!$B$1:$GX$1, 0))</f>
        <v>4719653</v>
      </c>
    </row>
    <row r="3" spans="1:14">
      <c r="A3">
        <v>2</v>
      </c>
      <c r="B3">
        <v>2014</v>
      </c>
      <c r="C3">
        <v>1</v>
      </c>
      <c r="D3" s="1">
        <v>41650</v>
      </c>
      <c r="E3" s="1">
        <v>41653</v>
      </c>
      <c r="F3" t="s">
        <v>17</v>
      </c>
      <c r="G3" t="s">
        <v>18</v>
      </c>
      <c r="H3" t="s">
        <v>19</v>
      </c>
      <c r="I3">
        <v>15</v>
      </c>
      <c r="J3" t="s">
        <v>15</v>
      </c>
      <c r="K3">
        <v>15.228</v>
      </c>
      <c r="L3" t="s">
        <v>20</v>
      </c>
      <c r="M3" t="str">
        <f t="shared" ref="M3:M66" si="0">B3&amp;"-Q"&amp;C3</f>
        <v>2014-Q1</v>
      </c>
      <c r="N3" s="5">
        <f>INDEX(Sheet1!$B$2:$GX$9, MATCH(auscathist!L3, Sheet1!$A$2:$A$9, 0), MATCH(auscathist!M3, Sheet1!$B$1:$GX$1, 0))</f>
        <v>2512556</v>
      </c>
    </row>
    <row r="4" spans="1:14">
      <c r="A4">
        <v>3</v>
      </c>
      <c r="B4">
        <v>2013</v>
      </c>
      <c r="C4">
        <v>4</v>
      </c>
      <c r="D4" s="1">
        <v>41564</v>
      </c>
      <c r="E4" s="1">
        <v>41574</v>
      </c>
      <c r="F4" t="s">
        <v>17</v>
      </c>
      <c r="G4" t="s">
        <v>18</v>
      </c>
      <c r="H4" t="s">
        <v>21</v>
      </c>
      <c r="I4">
        <v>183.4</v>
      </c>
      <c r="J4" t="s">
        <v>15</v>
      </c>
      <c r="K4">
        <v>187.25</v>
      </c>
      <c r="L4" t="s">
        <v>22</v>
      </c>
      <c r="M4" t="str">
        <f t="shared" si="0"/>
        <v>2013-Q4</v>
      </c>
      <c r="N4" s="5">
        <f>INDEX(Sheet1!$B$2:$GX$9, MATCH(auscathist!L4, Sheet1!$A$2:$A$9, 0), MATCH(auscathist!M4, Sheet1!$B$1:$GX$1, 0))</f>
        <v>7454938</v>
      </c>
    </row>
    <row r="5" spans="1:14">
      <c r="A5">
        <v>4</v>
      </c>
      <c r="B5">
        <v>2013</v>
      </c>
      <c r="C5">
        <v>1</v>
      </c>
      <c r="D5" s="1">
        <v>41301</v>
      </c>
      <c r="E5" s="1">
        <v>41304</v>
      </c>
      <c r="F5" t="s">
        <v>23</v>
      </c>
      <c r="G5" t="s">
        <v>24</v>
      </c>
      <c r="H5" t="s">
        <v>25</v>
      </c>
      <c r="I5">
        <v>121.3</v>
      </c>
      <c r="J5" t="s">
        <v>15</v>
      </c>
      <c r="K5">
        <v>126.749</v>
      </c>
      <c r="L5" t="s">
        <v>22</v>
      </c>
      <c r="M5" t="str">
        <f t="shared" si="0"/>
        <v>2013-Q1</v>
      </c>
      <c r="N5" s="5">
        <f>INDEX(Sheet1!$B$2:$GX$9, MATCH(auscathist!L5, Sheet1!$A$2:$A$9, 0), MATCH(auscathist!M5, Sheet1!$B$1:$GX$1, 0))</f>
        <v>7382957</v>
      </c>
    </row>
    <row r="6" spans="1:14">
      <c r="A6">
        <v>5</v>
      </c>
      <c r="B6">
        <v>2013</v>
      </c>
      <c r="C6">
        <v>1</v>
      </c>
      <c r="D6" s="1">
        <v>41295</v>
      </c>
      <c r="E6" s="1">
        <v>41304</v>
      </c>
      <c r="F6" t="s">
        <v>23</v>
      </c>
      <c r="G6" t="s">
        <v>24</v>
      </c>
      <c r="H6" t="s">
        <v>14</v>
      </c>
      <c r="I6">
        <v>977</v>
      </c>
      <c r="J6" t="s">
        <v>15</v>
      </c>
      <c r="K6">
        <v>1020.889</v>
      </c>
      <c r="L6" t="s">
        <v>16</v>
      </c>
      <c r="M6" t="str">
        <f t="shared" si="0"/>
        <v>2013-Q1</v>
      </c>
      <c r="N6" s="5">
        <f>INDEX(Sheet1!$B$2:$GX$9, MATCH(auscathist!L6, Sheet1!$A$2:$A$9, 0), MATCH(auscathist!M6, Sheet1!$B$1:$GX$1, 0))</f>
        <v>4634430</v>
      </c>
    </row>
    <row r="7" spans="1:14">
      <c r="A7">
        <v>6</v>
      </c>
      <c r="B7">
        <v>2013</v>
      </c>
      <c r="C7">
        <v>1</v>
      </c>
      <c r="D7" s="1">
        <v>41287</v>
      </c>
      <c r="E7" s="1">
        <v>41293</v>
      </c>
      <c r="F7" t="s">
        <v>18</v>
      </c>
      <c r="G7" t="s">
        <v>18</v>
      </c>
      <c r="H7" t="s">
        <v>26</v>
      </c>
      <c r="I7">
        <v>35</v>
      </c>
      <c r="J7" t="s">
        <v>15</v>
      </c>
      <c r="K7">
        <v>36.572000000000003</v>
      </c>
      <c r="L7" t="s">
        <v>22</v>
      </c>
      <c r="M7" t="str">
        <f t="shared" si="0"/>
        <v>2013-Q1</v>
      </c>
      <c r="N7" s="5">
        <f>INDEX(Sheet1!$B$2:$GX$9, MATCH(auscathist!L7, Sheet1!$A$2:$A$9, 0), MATCH(auscathist!M7, Sheet1!$B$1:$GX$1, 0))</f>
        <v>7382957</v>
      </c>
    </row>
    <row r="8" spans="1:14">
      <c r="A8">
        <v>7</v>
      </c>
      <c r="B8">
        <v>2013</v>
      </c>
      <c r="C8">
        <v>1</v>
      </c>
      <c r="D8" s="1">
        <v>41278</v>
      </c>
      <c r="E8" s="1">
        <v>41284</v>
      </c>
      <c r="F8" t="s">
        <v>18</v>
      </c>
      <c r="G8" t="s">
        <v>18</v>
      </c>
      <c r="H8" t="s">
        <v>27</v>
      </c>
      <c r="I8">
        <v>89</v>
      </c>
      <c r="J8" t="s">
        <v>15</v>
      </c>
      <c r="K8">
        <v>92.998000000000005</v>
      </c>
      <c r="L8" t="s">
        <v>28</v>
      </c>
      <c r="M8" t="str">
        <f t="shared" si="0"/>
        <v>2013-Q1</v>
      </c>
      <c r="N8" s="5">
        <f>INDEX(Sheet1!$B$2:$GX$9, MATCH(auscathist!L8, Sheet1!$A$2:$A$9, 0), MATCH(auscathist!M8, Sheet1!$B$1:$GX$1, 0))</f>
        <v>512240</v>
      </c>
    </row>
    <row r="9" spans="1:14">
      <c r="A9">
        <v>8</v>
      </c>
      <c r="B9">
        <v>2012</v>
      </c>
      <c r="C9">
        <v>1</v>
      </c>
      <c r="D9" s="1">
        <v>40963</v>
      </c>
      <c r="E9" s="1">
        <v>40984</v>
      </c>
      <c r="F9" t="s">
        <v>29</v>
      </c>
      <c r="G9" t="s">
        <v>30</v>
      </c>
      <c r="H9" t="s">
        <v>31</v>
      </c>
      <c r="I9">
        <v>131.88999999999999</v>
      </c>
      <c r="J9" t="s">
        <v>15</v>
      </c>
      <c r="K9">
        <v>141.26400000000001</v>
      </c>
      <c r="L9" t="s">
        <v>32</v>
      </c>
      <c r="M9" t="str">
        <f t="shared" si="0"/>
        <v>2012-Q1</v>
      </c>
      <c r="N9" s="5">
        <f>INDEX(Sheet1!$B$2:$GX$9, MATCH(auscathist!L9, Sheet1!$A$2:$A$9, 0), MATCH(auscathist!M9, Sheet1!$B$1:$GX$1, 0))</f>
        <v>5625354</v>
      </c>
    </row>
    <row r="10" spans="1:14">
      <c r="A10">
        <v>9</v>
      </c>
      <c r="B10">
        <v>2012</v>
      </c>
      <c r="C10">
        <v>1</v>
      </c>
      <c r="D10" s="1">
        <v>40932</v>
      </c>
      <c r="E10" s="1">
        <v>40954</v>
      </c>
      <c r="F10" t="s">
        <v>29</v>
      </c>
      <c r="G10" t="s">
        <v>30</v>
      </c>
      <c r="H10" t="s">
        <v>33</v>
      </c>
      <c r="I10">
        <v>131.43199999999999</v>
      </c>
      <c r="J10" t="s">
        <v>15</v>
      </c>
      <c r="K10">
        <v>140.773</v>
      </c>
      <c r="L10" t="s">
        <v>16</v>
      </c>
      <c r="M10" t="str">
        <f t="shared" si="0"/>
        <v>2012-Q1</v>
      </c>
      <c r="N10" s="5">
        <f>INDEX(Sheet1!$B$2:$GX$9, MATCH(auscathist!L10, Sheet1!$A$2:$A$9, 0), MATCH(auscathist!M10, Sheet1!$B$1:$GX$1, 0))</f>
        <v>4545613</v>
      </c>
    </row>
    <row r="11" spans="1:14">
      <c r="A11">
        <v>10</v>
      </c>
      <c r="B11">
        <v>2011</v>
      </c>
      <c r="C11">
        <v>4</v>
      </c>
      <c r="D11" s="1">
        <v>40902</v>
      </c>
      <c r="E11" s="1">
        <v>40902</v>
      </c>
      <c r="F11" t="s">
        <v>34</v>
      </c>
      <c r="G11" t="s">
        <v>24</v>
      </c>
      <c r="H11" t="s">
        <v>35</v>
      </c>
      <c r="I11">
        <v>728.64</v>
      </c>
      <c r="J11" t="s">
        <v>15</v>
      </c>
      <c r="K11">
        <v>781.20699999999999</v>
      </c>
      <c r="L11" t="s">
        <v>32</v>
      </c>
      <c r="M11" t="str">
        <f t="shared" si="0"/>
        <v>2011-Q4</v>
      </c>
      <c r="N11" s="5">
        <f>INDEX(Sheet1!$B$2:$GX$9, MATCH(auscathist!L11, Sheet1!$A$2:$A$9, 0), MATCH(auscathist!M11, Sheet1!$B$1:$GX$1, 0))</f>
        <v>5591818</v>
      </c>
    </row>
    <row r="12" spans="1:14">
      <c r="A12">
        <v>11</v>
      </c>
      <c r="B12">
        <v>2011</v>
      </c>
      <c r="C12">
        <v>4</v>
      </c>
      <c r="D12" s="1">
        <v>40869</v>
      </c>
      <c r="E12" s="1">
        <v>40871</v>
      </c>
      <c r="F12" t="s">
        <v>36</v>
      </c>
      <c r="G12" t="s">
        <v>18</v>
      </c>
      <c r="H12" t="s">
        <v>37</v>
      </c>
      <c r="I12">
        <v>53.45</v>
      </c>
      <c r="J12" t="s">
        <v>15</v>
      </c>
      <c r="K12">
        <v>57.305999999999997</v>
      </c>
      <c r="L12" t="s">
        <v>20</v>
      </c>
      <c r="M12" t="str">
        <f t="shared" si="0"/>
        <v>2011-Q4</v>
      </c>
      <c r="N12" s="5">
        <f>INDEX(Sheet1!$B$2:$GX$9, MATCH(auscathist!L12, Sheet1!$A$2:$A$9, 0), MATCH(auscathist!M12, Sheet1!$B$1:$GX$1, 0))</f>
        <v>2385947</v>
      </c>
    </row>
    <row r="13" spans="1:14">
      <c r="A13">
        <v>12</v>
      </c>
      <c r="B13">
        <v>2011</v>
      </c>
      <c r="C13">
        <v>1</v>
      </c>
      <c r="D13" s="1">
        <v>40579</v>
      </c>
      <c r="E13" s="1">
        <v>40581</v>
      </c>
      <c r="F13" t="s">
        <v>38</v>
      </c>
      <c r="G13" t="s">
        <v>18</v>
      </c>
      <c r="H13" t="s">
        <v>39</v>
      </c>
      <c r="I13">
        <v>35.128</v>
      </c>
      <c r="J13" t="s">
        <v>15</v>
      </c>
      <c r="K13">
        <v>38.237000000000002</v>
      </c>
      <c r="L13" t="s">
        <v>20</v>
      </c>
      <c r="M13" t="str">
        <f t="shared" si="0"/>
        <v>2011-Q1</v>
      </c>
      <c r="N13" s="5">
        <f>INDEX(Sheet1!$B$2:$GX$9, MATCH(auscathist!L13, Sheet1!$A$2:$A$9, 0), MATCH(auscathist!M13, Sheet1!$B$1:$GX$1, 0))</f>
        <v>2337611</v>
      </c>
    </row>
    <row r="14" spans="1:14">
      <c r="A14">
        <v>13</v>
      </c>
      <c r="B14">
        <v>2011</v>
      </c>
      <c r="C14">
        <v>1</v>
      </c>
      <c r="D14" s="1">
        <v>40578</v>
      </c>
      <c r="E14" s="1">
        <v>40580</v>
      </c>
      <c r="F14" t="s">
        <v>40</v>
      </c>
      <c r="G14" t="s">
        <v>24</v>
      </c>
      <c r="H14" t="s">
        <v>41</v>
      </c>
      <c r="I14">
        <v>487.61500000000001</v>
      </c>
      <c r="J14" t="s">
        <v>15</v>
      </c>
      <c r="K14">
        <v>530.77099999999996</v>
      </c>
      <c r="L14" t="s">
        <v>32</v>
      </c>
      <c r="M14" t="str">
        <f t="shared" si="0"/>
        <v>2011-Q1</v>
      </c>
      <c r="N14" s="5">
        <f>INDEX(Sheet1!$B$2:$GX$9, MATCH(auscathist!L14, Sheet1!$A$2:$A$9, 0), MATCH(auscathist!M14, Sheet1!$B$1:$GX$1, 0))</f>
        <v>5520378</v>
      </c>
    </row>
    <row r="15" spans="1:14">
      <c r="A15">
        <v>14</v>
      </c>
      <c r="B15">
        <v>2011</v>
      </c>
      <c r="C15">
        <v>1</v>
      </c>
      <c r="D15" s="1">
        <v>40576</v>
      </c>
      <c r="E15" s="1">
        <v>40581</v>
      </c>
      <c r="F15" t="s">
        <v>42</v>
      </c>
      <c r="G15" t="s">
        <v>13</v>
      </c>
      <c r="H15" t="s">
        <v>14</v>
      </c>
      <c r="I15">
        <v>1412.239</v>
      </c>
      <c r="J15" t="s">
        <v>15</v>
      </c>
      <c r="K15">
        <v>1537.229</v>
      </c>
      <c r="L15" t="s">
        <v>16</v>
      </c>
      <c r="M15" t="str">
        <f t="shared" si="0"/>
        <v>2011-Q1</v>
      </c>
      <c r="N15" s="5">
        <f>INDEX(Sheet1!$B$2:$GX$9, MATCH(auscathist!L15, Sheet1!$A$2:$A$9, 0), MATCH(auscathist!M15, Sheet1!$B$1:$GX$1, 0))</f>
        <v>4457971</v>
      </c>
    </row>
    <row r="16" spans="1:14">
      <c r="A16">
        <v>15</v>
      </c>
      <c r="B16">
        <v>2011</v>
      </c>
      <c r="C16">
        <v>1</v>
      </c>
      <c r="D16" s="1">
        <v>40556</v>
      </c>
      <c r="E16" s="1">
        <v>40561</v>
      </c>
      <c r="F16" t="s">
        <v>29</v>
      </c>
      <c r="G16" t="s">
        <v>30</v>
      </c>
      <c r="H16" t="s">
        <v>43</v>
      </c>
      <c r="I16">
        <v>126.495</v>
      </c>
      <c r="J16" t="s">
        <v>15</v>
      </c>
      <c r="K16">
        <v>137.69</v>
      </c>
      <c r="L16" t="s">
        <v>32</v>
      </c>
      <c r="M16" t="str">
        <f t="shared" si="0"/>
        <v>2011-Q1</v>
      </c>
      <c r="N16" s="5">
        <f>INDEX(Sheet1!$B$2:$GX$9, MATCH(auscathist!L16, Sheet1!$A$2:$A$9, 0), MATCH(auscathist!M16, Sheet1!$B$1:$GX$1, 0))</f>
        <v>5520378</v>
      </c>
    </row>
    <row r="17" spans="1:14">
      <c r="A17">
        <v>16</v>
      </c>
      <c r="B17">
        <v>2010</v>
      </c>
      <c r="C17">
        <v>4</v>
      </c>
      <c r="D17" s="1">
        <v>40533</v>
      </c>
      <c r="E17" s="1">
        <v>40557</v>
      </c>
      <c r="F17" t="s">
        <v>29</v>
      </c>
      <c r="G17" t="s">
        <v>30</v>
      </c>
      <c r="H17" t="s">
        <v>44</v>
      </c>
      <c r="I17">
        <v>2387.6239999999998</v>
      </c>
      <c r="J17" t="s">
        <v>15</v>
      </c>
      <c r="K17">
        <v>2636.489</v>
      </c>
      <c r="L17" t="s">
        <v>16</v>
      </c>
      <c r="M17" t="str">
        <f t="shared" si="0"/>
        <v>2010-Q4</v>
      </c>
      <c r="N17" s="5">
        <f>INDEX(Sheet1!$B$2:$GX$9, MATCH(auscathist!L17, Sheet1!$A$2:$A$9, 0), MATCH(auscathist!M17, Sheet1!$B$1:$GX$1, 0))</f>
        <v>4436882</v>
      </c>
    </row>
    <row r="18" spans="1:14">
      <c r="A18">
        <v>17</v>
      </c>
      <c r="B18">
        <v>2010</v>
      </c>
      <c r="C18">
        <v>1</v>
      </c>
      <c r="D18" s="1">
        <v>40259</v>
      </c>
      <c r="E18" t="s">
        <v>15</v>
      </c>
      <c r="F18" t="s">
        <v>45</v>
      </c>
      <c r="G18" t="s">
        <v>24</v>
      </c>
      <c r="H18" t="s">
        <v>19</v>
      </c>
      <c r="I18">
        <v>1053</v>
      </c>
      <c r="J18">
        <v>1019</v>
      </c>
      <c r="K18">
        <v>1092.5150000000001</v>
      </c>
      <c r="L18" t="s">
        <v>20</v>
      </c>
      <c r="M18" t="str">
        <f t="shared" si="0"/>
        <v>2010-Q1</v>
      </c>
      <c r="N18" s="5">
        <f>INDEX(Sheet1!$B$2:$GX$9, MATCH(auscathist!L18, Sheet1!$A$2:$A$9, 0), MATCH(auscathist!M18, Sheet1!$B$1:$GX$1, 0))</f>
        <v>2278589</v>
      </c>
    </row>
    <row r="19" spans="1:14">
      <c r="A19">
        <v>18</v>
      </c>
      <c r="B19">
        <v>2010</v>
      </c>
      <c r="C19">
        <v>1</v>
      </c>
      <c r="D19" s="1">
        <v>40243</v>
      </c>
      <c r="E19" t="s">
        <v>15</v>
      </c>
      <c r="F19" t="s">
        <v>46</v>
      </c>
      <c r="G19" t="s">
        <v>24</v>
      </c>
      <c r="H19" t="s">
        <v>35</v>
      </c>
      <c r="I19">
        <v>1044</v>
      </c>
      <c r="J19">
        <v>1160</v>
      </c>
      <c r="K19">
        <v>1243.6869999999999</v>
      </c>
      <c r="L19" t="s">
        <v>32</v>
      </c>
      <c r="M19" t="str">
        <f t="shared" si="0"/>
        <v>2010-Q1</v>
      </c>
      <c r="N19" s="5">
        <f>INDEX(Sheet1!$B$2:$GX$9, MATCH(auscathist!L19, Sheet1!$A$2:$A$9, 0), MATCH(auscathist!M19, Sheet1!$B$1:$GX$1, 0))</f>
        <v>5445172</v>
      </c>
    </row>
    <row r="20" spans="1:14">
      <c r="A20">
        <v>19</v>
      </c>
      <c r="B20">
        <v>2010</v>
      </c>
      <c r="C20">
        <v>1</v>
      </c>
      <c r="D20" s="1">
        <v>40242</v>
      </c>
      <c r="E20" t="s">
        <v>15</v>
      </c>
      <c r="F20" t="s">
        <v>47</v>
      </c>
      <c r="G20" t="s">
        <v>30</v>
      </c>
      <c r="H20" t="s">
        <v>14</v>
      </c>
      <c r="I20">
        <v>46.7</v>
      </c>
      <c r="J20">
        <v>49</v>
      </c>
      <c r="K20">
        <v>52.534999999999997</v>
      </c>
      <c r="L20" t="s">
        <v>16</v>
      </c>
      <c r="M20" t="str">
        <f t="shared" si="0"/>
        <v>2010-Q1</v>
      </c>
      <c r="N20" s="5">
        <f>INDEX(Sheet1!$B$2:$GX$9, MATCH(auscathist!L20, Sheet1!$A$2:$A$9, 0), MATCH(auscathist!M20, Sheet1!$B$1:$GX$1, 0))</f>
        <v>4387801</v>
      </c>
    </row>
    <row r="21" spans="1:14">
      <c r="A21">
        <v>20</v>
      </c>
      <c r="B21">
        <v>2009</v>
      </c>
      <c r="C21">
        <v>4</v>
      </c>
      <c r="D21" s="1">
        <v>40178</v>
      </c>
      <c r="E21" t="s">
        <v>15</v>
      </c>
      <c r="F21" t="s">
        <v>48</v>
      </c>
      <c r="G21" t="s">
        <v>18</v>
      </c>
      <c r="H21" t="s">
        <v>49</v>
      </c>
      <c r="I21">
        <v>7.4</v>
      </c>
      <c r="J21">
        <v>8</v>
      </c>
      <c r="K21">
        <v>8.577</v>
      </c>
      <c r="L21" t="s">
        <v>20</v>
      </c>
      <c r="M21" t="str">
        <f t="shared" si="0"/>
        <v>2009-Q4</v>
      </c>
      <c r="N21" s="5">
        <f>INDEX(Sheet1!$B$2:$GX$9, MATCH(auscathist!L21, Sheet1!$A$2:$A$9, 0), MATCH(auscathist!M21, Sheet1!$B$1:$GX$1, 0))</f>
        <v>2263747</v>
      </c>
    </row>
    <row r="22" spans="1:14">
      <c r="A22">
        <v>21</v>
      </c>
      <c r="B22">
        <v>2009</v>
      </c>
      <c r="C22">
        <v>2</v>
      </c>
      <c r="D22" s="1">
        <v>39954</v>
      </c>
      <c r="E22" t="s">
        <v>15</v>
      </c>
      <c r="F22" t="s">
        <v>50</v>
      </c>
      <c r="G22" t="s">
        <v>24</v>
      </c>
      <c r="H22" t="s">
        <v>51</v>
      </c>
      <c r="I22">
        <v>48</v>
      </c>
      <c r="J22">
        <v>55</v>
      </c>
      <c r="K22">
        <v>58.968000000000004</v>
      </c>
      <c r="L22" t="s">
        <v>16</v>
      </c>
      <c r="M22" t="str">
        <f t="shared" si="0"/>
        <v>2009-Q2</v>
      </c>
      <c r="N22" s="5">
        <f>INDEX(Sheet1!$B$2:$GX$9, MATCH(auscathist!L22, Sheet1!$A$2:$A$9, 0), MATCH(auscathist!M22, Sheet1!$B$1:$GX$1, 0))</f>
        <v>4328771</v>
      </c>
    </row>
    <row r="23" spans="1:14">
      <c r="A23">
        <v>22</v>
      </c>
      <c r="B23">
        <v>2009</v>
      </c>
      <c r="C23">
        <v>2</v>
      </c>
      <c r="D23" s="1">
        <v>39913</v>
      </c>
      <c r="E23" t="s">
        <v>15</v>
      </c>
      <c r="F23" t="s">
        <v>29</v>
      </c>
      <c r="G23" t="s">
        <v>30</v>
      </c>
      <c r="H23" t="s">
        <v>25</v>
      </c>
      <c r="I23">
        <v>37</v>
      </c>
      <c r="J23">
        <v>40</v>
      </c>
      <c r="K23">
        <v>42.886000000000003</v>
      </c>
      <c r="L23" t="s">
        <v>22</v>
      </c>
      <c r="M23" t="str">
        <f t="shared" si="0"/>
        <v>2009-Q2</v>
      </c>
      <c r="N23" s="5">
        <f>INDEX(Sheet1!$B$2:$GX$9, MATCH(auscathist!L23, Sheet1!$A$2:$A$9, 0), MATCH(auscathist!M23, Sheet1!$B$1:$GX$1, 0))</f>
        <v>7053755</v>
      </c>
    </row>
    <row r="24" spans="1:14">
      <c r="A24">
        <v>23</v>
      </c>
      <c r="B24">
        <v>2009</v>
      </c>
      <c r="C24">
        <v>1</v>
      </c>
      <c r="D24" s="1">
        <v>39851</v>
      </c>
      <c r="E24" t="s">
        <v>15</v>
      </c>
      <c r="F24" t="s">
        <v>52</v>
      </c>
      <c r="G24" t="s">
        <v>53</v>
      </c>
      <c r="H24" t="s">
        <v>43</v>
      </c>
      <c r="I24">
        <v>1070</v>
      </c>
      <c r="J24">
        <v>1266</v>
      </c>
      <c r="K24">
        <v>1357.335</v>
      </c>
      <c r="L24" t="s">
        <v>32</v>
      </c>
      <c r="M24" t="str">
        <f t="shared" si="0"/>
        <v>2009-Q1</v>
      </c>
      <c r="N24" s="5">
        <f>INDEX(Sheet1!$B$2:$GX$9, MATCH(auscathist!L24, Sheet1!$A$2:$A$9, 0), MATCH(auscathist!M24, Sheet1!$B$1:$GX$1, 0))</f>
        <v>5347672</v>
      </c>
    </row>
    <row r="25" spans="1:14">
      <c r="A25">
        <v>24</v>
      </c>
      <c r="B25">
        <v>2009</v>
      </c>
      <c r="C25">
        <v>1</v>
      </c>
      <c r="D25" s="1">
        <v>39826</v>
      </c>
      <c r="E25" t="s">
        <v>15</v>
      </c>
      <c r="F25" t="s">
        <v>54</v>
      </c>
      <c r="G25" t="s">
        <v>30</v>
      </c>
      <c r="H25" t="s">
        <v>55</v>
      </c>
      <c r="I25">
        <v>19</v>
      </c>
      <c r="J25">
        <v>22</v>
      </c>
      <c r="K25">
        <v>23.587</v>
      </c>
      <c r="L25" t="s">
        <v>16</v>
      </c>
      <c r="M25" t="str">
        <f t="shared" si="0"/>
        <v>2009-Q1</v>
      </c>
      <c r="N25" s="5">
        <f>INDEX(Sheet1!$B$2:$GX$9, MATCH(auscathist!L25, Sheet1!$A$2:$A$9, 0), MATCH(auscathist!M25, Sheet1!$B$1:$GX$1, 0))</f>
        <v>4305605</v>
      </c>
    </row>
    <row r="26" spans="1:14">
      <c r="A26">
        <v>25</v>
      </c>
      <c r="B26">
        <v>2008</v>
      </c>
      <c r="C26">
        <v>4</v>
      </c>
      <c r="D26" s="1">
        <v>39768</v>
      </c>
      <c r="E26" t="s">
        <v>15</v>
      </c>
      <c r="F26" t="s">
        <v>56</v>
      </c>
      <c r="G26" t="s">
        <v>24</v>
      </c>
      <c r="H26" t="s">
        <v>57</v>
      </c>
      <c r="I26">
        <v>309</v>
      </c>
      <c r="J26">
        <v>355</v>
      </c>
      <c r="K26">
        <v>380.61099999999999</v>
      </c>
      <c r="L26" t="s">
        <v>16</v>
      </c>
      <c r="M26" t="str">
        <f t="shared" si="0"/>
        <v>2008-Q4</v>
      </c>
      <c r="N26" s="5">
        <f>INDEX(Sheet1!$B$2:$GX$9, MATCH(auscathist!L26, Sheet1!$A$2:$A$9, 0), MATCH(auscathist!M26, Sheet1!$B$1:$GX$1, 0))</f>
        <v>4275551</v>
      </c>
    </row>
    <row r="27" spans="1:14">
      <c r="A27">
        <v>26</v>
      </c>
      <c r="B27">
        <v>2008</v>
      </c>
      <c r="C27">
        <v>2</v>
      </c>
      <c r="D27" s="1">
        <v>39602</v>
      </c>
      <c r="E27" t="s">
        <v>15</v>
      </c>
      <c r="F27" t="s">
        <v>58</v>
      </c>
      <c r="G27" t="s">
        <v>53</v>
      </c>
      <c r="H27" t="s">
        <v>20</v>
      </c>
      <c r="I27">
        <v>230</v>
      </c>
      <c r="J27">
        <v>279</v>
      </c>
      <c r="K27">
        <v>299.12799999999999</v>
      </c>
      <c r="L27" t="s">
        <v>20</v>
      </c>
      <c r="M27" t="str">
        <f t="shared" si="0"/>
        <v>2008-Q2</v>
      </c>
      <c r="N27" s="5">
        <f>INDEX(Sheet1!$B$2:$GX$9, MATCH(auscathist!L27, Sheet1!$A$2:$A$9, 0), MATCH(auscathist!M27, Sheet1!$B$1:$GX$1, 0))</f>
        <v>2171700</v>
      </c>
    </row>
    <row r="28" spans="1:14">
      <c r="A28">
        <v>27</v>
      </c>
      <c r="B28">
        <v>2008</v>
      </c>
      <c r="C28">
        <v>2</v>
      </c>
      <c r="D28" s="1">
        <v>39558</v>
      </c>
      <c r="E28" t="s">
        <v>15</v>
      </c>
      <c r="F28" t="s">
        <v>59</v>
      </c>
      <c r="G28" t="s">
        <v>24</v>
      </c>
      <c r="H28" t="s">
        <v>60</v>
      </c>
      <c r="I28">
        <v>65</v>
      </c>
      <c r="J28">
        <v>79</v>
      </c>
      <c r="K28">
        <v>84.698999999999998</v>
      </c>
      <c r="L28" t="s">
        <v>32</v>
      </c>
      <c r="M28" t="str">
        <f t="shared" si="0"/>
        <v>2008-Q2</v>
      </c>
      <c r="N28" s="5">
        <f>INDEX(Sheet1!$B$2:$GX$9, MATCH(auscathist!L28, Sheet1!$A$2:$A$9, 0), MATCH(auscathist!M28, Sheet1!$B$1:$GX$1, 0))</f>
        <v>5256375</v>
      </c>
    </row>
    <row r="29" spans="1:14">
      <c r="A29">
        <v>28</v>
      </c>
      <c r="B29">
        <v>2008</v>
      </c>
      <c r="C29">
        <v>1</v>
      </c>
      <c r="D29" s="1">
        <v>39492</v>
      </c>
      <c r="E29" t="s">
        <v>15</v>
      </c>
      <c r="F29" t="s">
        <v>61</v>
      </c>
      <c r="G29" t="s">
        <v>62</v>
      </c>
      <c r="H29" t="s">
        <v>63</v>
      </c>
      <c r="I29">
        <v>410</v>
      </c>
      <c r="J29">
        <v>507</v>
      </c>
      <c r="K29">
        <v>543.577</v>
      </c>
      <c r="L29" t="s">
        <v>16</v>
      </c>
      <c r="M29" t="str">
        <f t="shared" si="0"/>
        <v>2008-Q1</v>
      </c>
      <c r="N29" s="5">
        <f>INDEX(Sheet1!$B$2:$GX$9, MATCH(auscathist!L29, Sheet1!$A$2:$A$9, 0), MATCH(auscathist!M29, Sheet1!$B$1:$GX$1, 0))</f>
        <v>4191479</v>
      </c>
    </row>
    <row r="30" spans="1:14">
      <c r="A30">
        <v>29</v>
      </c>
      <c r="B30">
        <v>2008</v>
      </c>
      <c r="C30">
        <v>1</v>
      </c>
      <c r="D30" s="1">
        <v>39464</v>
      </c>
      <c r="E30" t="s">
        <v>15</v>
      </c>
      <c r="F30" t="s">
        <v>64</v>
      </c>
      <c r="G30" t="s">
        <v>62</v>
      </c>
      <c r="H30" t="s">
        <v>65</v>
      </c>
      <c r="I30">
        <v>70</v>
      </c>
      <c r="J30">
        <v>85</v>
      </c>
      <c r="K30">
        <v>91.132000000000005</v>
      </c>
      <c r="L30" t="s">
        <v>16</v>
      </c>
      <c r="M30" t="str">
        <f t="shared" si="0"/>
        <v>2008-Q1</v>
      </c>
      <c r="N30" s="5">
        <f>INDEX(Sheet1!$B$2:$GX$9, MATCH(auscathist!L30, Sheet1!$A$2:$A$9, 0), MATCH(auscathist!M30, Sheet1!$B$1:$GX$1, 0))</f>
        <v>4191479</v>
      </c>
    </row>
    <row r="31" spans="1:14">
      <c r="A31">
        <v>30</v>
      </c>
      <c r="B31">
        <v>2008</v>
      </c>
      <c r="C31">
        <v>1</v>
      </c>
      <c r="D31" s="1">
        <v>39451</v>
      </c>
      <c r="E31" t="s">
        <v>15</v>
      </c>
      <c r="F31" t="s">
        <v>61</v>
      </c>
      <c r="G31" t="s">
        <v>62</v>
      </c>
      <c r="H31" t="s">
        <v>66</v>
      </c>
      <c r="I31">
        <v>15</v>
      </c>
      <c r="J31">
        <v>17</v>
      </c>
      <c r="K31">
        <v>18.225999999999999</v>
      </c>
      <c r="L31" t="s">
        <v>22</v>
      </c>
      <c r="M31" t="str">
        <f t="shared" si="0"/>
        <v>2008-Q1</v>
      </c>
      <c r="N31" s="5">
        <f>INDEX(Sheet1!$B$2:$GX$9, MATCH(auscathist!L31, Sheet1!$A$2:$A$9, 0), MATCH(auscathist!M31, Sheet1!$B$1:$GX$1, 0))</f>
        <v>6919907</v>
      </c>
    </row>
    <row r="32" spans="1:14">
      <c r="A32">
        <v>31</v>
      </c>
      <c r="B32">
        <v>2007</v>
      </c>
      <c r="C32">
        <v>4</v>
      </c>
      <c r="D32" s="1">
        <v>39425</v>
      </c>
      <c r="E32" t="s">
        <v>15</v>
      </c>
      <c r="F32" t="s">
        <v>67</v>
      </c>
      <c r="G32" t="s">
        <v>68</v>
      </c>
      <c r="H32" t="s">
        <v>69</v>
      </c>
      <c r="I32">
        <v>415</v>
      </c>
      <c r="J32">
        <v>486</v>
      </c>
      <c r="K32">
        <v>521.06200000000001</v>
      </c>
      <c r="L32" t="s">
        <v>22</v>
      </c>
      <c r="M32" t="str">
        <f t="shared" si="0"/>
        <v>2007-Q4</v>
      </c>
      <c r="N32" s="5">
        <f>INDEX(Sheet1!$B$2:$GX$9, MATCH(auscathist!L32, Sheet1!$A$2:$A$9, 0), MATCH(auscathist!M32, Sheet1!$B$1:$GX$1, 0))</f>
        <v>6883852</v>
      </c>
    </row>
    <row r="33" spans="1:14">
      <c r="A33">
        <v>32</v>
      </c>
      <c r="B33">
        <v>2007</v>
      </c>
      <c r="C33">
        <v>4</v>
      </c>
      <c r="D33" s="1">
        <v>39381</v>
      </c>
      <c r="E33" t="s">
        <v>15</v>
      </c>
      <c r="F33" t="s">
        <v>40</v>
      </c>
      <c r="G33" t="s">
        <v>24</v>
      </c>
      <c r="H33" t="s">
        <v>70</v>
      </c>
      <c r="I33">
        <v>4</v>
      </c>
      <c r="J33">
        <v>5</v>
      </c>
      <c r="K33">
        <v>5.3609999999999998</v>
      </c>
      <c r="L33" t="s">
        <v>22</v>
      </c>
      <c r="M33" t="str">
        <f t="shared" si="0"/>
        <v>2007-Q4</v>
      </c>
      <c r="N33" s="5">
        <f>INDEX(Sheet1!$B$2:$GX$9, MATCH(auscathist!L33, Sheet1!$A$2:$A$9, 0), MATCH(auscathist!M33, Sheet1!$B$1:$GX$1, 0))</f>
        <v>6883852</v>
      </c>
    </row>
    <row r="34" spans="1:14">
      <c r="A34">
        <v>33</v>
      </c>
      <c r="B34">
        <v>2007</v>
      </c>
      <c r="C34">
        <v>2</v>
      </c>
      <c r="D34" s="1">
        <v>39241</v>
      </c>
      <c r="E34" s="1">
        <v>39243</v>
      </c>
      <c r="F34" t="s">
        <v>71</v>
      </c>
      <c r="G34" t="s">
        <v>24</v>
      </c>
      <c r="H34" t="s">
        <v>72</v>
      </c>
      <c r="I34">
        <v>1480</v>
      </c>
      <c r="J34">
        <v>1742</v>
      </c>
      <c r="K34">
        <v>1867.675</v>
      </c>
      <c r="L34" t="s">
        <v>22</v>
      </c>
      <c r="M34" t="str">
        <f t="shared" si="0"/>
        <v>2007-Q2</v>
      </c>
      <c r="N34" s="5">
        <f>INDEX(Sheet1!$B$2:$GX$9, MATCH(auscathist!L34, Sheet1!$A$2:$A$9, 0), MATCH(auscathist!M34, Sheet1!$B$1:$GX$1, 0))</f>
        <v>6834156</v>
      </c>
    </row>
    <row r="35" spans="1:14">
      <c r="A35">
        <v>34</v>
      </c>
      <c r="B35">
        <v>2007</v>
      </c>
      <c r="C35">
        <v>4</v>
      </c>
      <c r="D35" s="1">
        <v>39364</v>
      </c>
      <c r="E35" t="s">
        <v>15</v>
      </c>
      <c r="F35" t="s">
        <v>73</v>
      </c>
      <c r="G35" t="s">
        <v>68</v>
      </c>
      <c r="H35" t="s">
        <v>70</v>
      </c>
      <c r="I35">
        <v>97</v>
      </c>
      <c r="J35">
        <v>109</v>
      </c>
      <c r="K35">
        <v>116.864</v>
      </c>
      <c r="L35" t="s">
        <v>22</v>
      </c>
      <c r="M35" t="str">
        <f t="shared" si="0"/>
        <v>2007-Q4</v>
      </c>
      <c r="N35" s="5">
        <f>INDEX(Sheet1!$B$2:$GX$9, MATCH(auscathist!L35, Sheet1!$A$2:$A$9, 0), MATCH(auscathist!M35, Sheet1!$B$1:$GX$1, 0))</f>
        <v>6883852</v>
      </c>
    </row>
    <row r="36" spans="1:14">
      <c r="A36">
        <v>35</v>
      </c>
      <c r="B36">
        <v>2007</v>
      </c>
      <c r="C36">
        <v>2</v>
      </c>
      <c r="D36" s="1">
        <v>39249</v>
      </c>
      <c r="E36" t="s">
        <v>15</v>
      </c>
      <c r="F36" t="s">
        <v>71</v>
      </c>
      <c r="G36" t="s">
        <v>24</v>
      </c>
      <c r="H36" t="s">
        <v>74</v>
      </c>
      <c r="I36">
        <v>15</v>
      </c>
      <c r="J36">
        <v>18</v>
      </c>
      <c r="K36">
        <v>19.298999999999999</v>
      </c>
      <c r="L36" t="s">
        <v>32</v>
      </c>
      <c r="M36" t="str">
        <f t="shared" si="0"/>
        <v>2007-Q2</v>
      </c>
      <c r="N36" s="5">
        <f>INDEX(Sheet1!$B$2:$GX$9, MATCH(auscathist!L36, Sheet1!$A$2:$A$9, 0), MATCH(auscathist!M36, Sheet1!$B$1:$GX$1, 0))</f>
        <v>5153522</v>
      </c>
    </row>
    <row r="37" spans="1:14">
      <c r="A37">
        <v>36</v>
      </c>
      <c r="B37">
        <v>2007</v>
      </c>
      <c r="C37">
        <v>1</v>
      </c>
      <c r="D37" s="1">
        <v>39149</v>
      </c>
      <c r="E37" t="s">
        <v>15</v>
      </c>
      <c r="F37" t="s">
        <v>75</v>
      </c>
      <c r="G37" t="s">
        <v>13</v>
      </c>
      <c r="H37" t="s">
        <v>76</v>
      </c>
      <c r="I37">
        <v>8</v>
      </c>
      <c r="J37">
        <v>12</v>
      </c>
      <c r="K37">
        <v>12.866</v>
      </c>
      <c r="L37" t="s">
        <v>20</v>
      </c>
      <c r="M37" t="str">
        <f t="shared" si="0"/>
        <v>2007-Q1</v>
      </c>
      <c r="N37" s="5">
        <f>INDEX(Sheet1!$B$2:$GX$9, MATCH(auscathist!L37, Sheet1!$A$2:$A$9, 0), MATCH(auscathist!M37, Sheet1!$B$1:$GX$1, 0))</f>
        <v>2093633</v>
      </c>
    </row>
    <row r="38" spans="1:14">
      <c r="A38">
        <v>37</v>
      </c>
      <c r="B38">
        <v>2007</v>
      </c>
      <c r="C38">
        <v>1</v>
      </c>
      <c r="D38" s="1">
        <v>39098</v>
      </c>
      <c r="E38" t="s">
        <v>15</v>
      </c>
      <c r="F38" t="s">
        <v>71</v>
      </c>
      <c r="G38" t="s">
        <v>24</v>
      </c>
      <c r="H38" t="s">
        <v>77</v>
      </c>
      <c r="I38">
        <v>4</v>
      </c>
      <c r="J38">
        <v>5</v>
      </c>
      <c r="K38">
        <v>5.3609999999999998</v>
      </c>
      <c r="L38" t="s">
        <v>22</v>
      </c>
      <c r="M38" t="str">
        <f t="shared" si="0"/>
        <v>2007-Q1</v>
      </c>
      <c r="N38" s="5">
        <f>INDEX(Sheet1!$B$2:$GX$9, MATCH(auscathist!L38, Sheet1!$A$2:$A$9, 0), MATCH(auscathist!M38, Sheet1!$B$1:$GX$1, 0))</f>
        <v>6815359</v>
      </c>
    </row>
    <row r="39" spans="1:14">
      <c r="A39">
        <v>38</v>
      </c>
      <c r="B39">
        <v>2007</v>
      </c>
      <c r="C39">
        <v>1</v>
      </c>
      <c r="D39" s="1">
        <v>39097</v>
      </c>
      <c r="E39" t="s">
        <v>15</v>
      </c>
      <c r="F39" t="s">
        <v>71</v>
      </c>
      <c r="G39" t="s">
        <v>24</v>
      </c>
      <c r="H39" t="s">
        <v>78</v>
      </c>
      <c r="I39">
        <v>2</v>
      </c>
      <c r="J39">
        <v>2</v>
      </c>
      <c r="K39">
        <v>2.1440000000000001</v>
      </c>
      <c r="L39" t="s">
        <v>22</v>
      </c>
      <c r="M39" t="str">
        <f t="shared" si="0"/>
        <v>2007-Q1</v>
      </c>
      <c r="N39" s="5">
        <f>INDEX(Sheet1!$B$2:$GX$9, MATCH(auscathist!L39, Sheet1!$A$2:$A$9, 0), MATCH(auscathist!M39, Sheet1!$B$1:$GX$1, 0))</f>
        <v>6815359</v>
      </c>
    </row>
    <row r="40" spans="1:14">
      <c r="A40">
        <v>39</v>
      </c>
      <c r="B40">
        <v>2006</v>
      </c>
      <c r="C40">
        <v>4</v>
      </c>
      <c r="D40" s="1">
        <v>39021</v>
      </c>
      <c r="E40" t="s">
        <v>15</v>
      </c>
      <c r="F40" t="s">
        <v>79</v>
      </c>
      <c r="G40" t="s">
        <v>68</v>
      </c>
      <c r="H40" t="s">
        <v>80</v>
      </c>
      <c r="I40">
        <v>51</v>
      </c>
      <c r="J40">
        <v>60</v>
      </c>
      <c r="K40">
        <v>64.328999999999994</v>
      </c>
      <c r="L40" t="s">
        <v>22</v>
      </c>
      <c r="M40" t="str">
        <f t="shared" si="0"/>
        <v>2006-Q4</v>
      </c>
      <c r="N40" s="5">
        <f>INDEX(Sheet1!$B$2:$GX$9, MATCH(auscathist!L40, Sheet1!$A$2:$A$9, 0), MATCH(auscathist!M40, Sheet1!$B$1:$GX$1, 0))</f>
        <v>6786160</v>
      </c>
    </row>
    <row r="41" spans="1:14">
      <c r="A41">
        <v>40</v>
      </c>
      <c r="B41">
        <v>2006</v>
      </c>
      <c r="C41">
        <v>3</v>
      </c>
      <c r="D41" s="1">
        <v>38936</v>
      </c>
      <c r="E41" t="s">
        <v>15</v>
      </c>
      <c r="F41" t="s">
        <v>24</v>
      </c>
      <c r="G41" t="s">
        <v>24</v>
      </c>
      <c r="H41" t="s">
        <v>81</v>
      </c>
      <c r="I41">
        <v>5.2</v>
      </c>
      <c r="J41">
        <v>9</v>
      </c>
      <c r="K41">
        <v>9.6489999999999991</v>
      </c>
      <c r="L41" t="s">
        <v>20</v>
      </c>
      <c r="M41" t="str">
        <f t="shared" si="0"/>
        <v>2006-Q3</v>
      </c>
      <c r="N41" s="5">
        <f>INDEX(Sheet1!$B$2:$GX$9, MATCH(auscathist!L41, Sheet1!$A$2:$A$9, 0), MATCH(auscathist!M41, Sheet1!$B$1:$GX$1, 0))</f>
        <v>2064032</v>
      </c>
    </row>
    <row r="42" spans="1:14">
      <c r="A42">
        <v>41</v>
      </c>
      <c r="B42">
        <v>2006</v>
      </c>
      <c r="C42">
        <v>1</v>
      </c>
      <c r="D42" s="1">
        <v>38796</v>
      </c>
      <c r="E42" t="s">
        <v>15</v>
      </c>
      <c r="F42" t="s">
        <v>82</v>
      </c>
      <c r="G42" t="s">
        <v>13</v>
      </c>
      <c r="H42" t="s">
        <v>83</v>
      </c>
      <c r="I42">
        <v>540</v>
      </c>
      <c r="J42">
        <v>609</v>
      </c>
      <c r="K42">
        <v>652.93600000000004</v>
      </c>
      <c r="L42" t="s">
        <v>16</v>
      </c>
      <c r="M42" t="str">
        <f t="shared" si="0"/>
        <v>2006-Q1</v>
      </c>
      <c r="N42" s="5">
        <f>INDEX(Sheet1!$B$2:$GX$9, MATCH(auscathist!L42, Sheet1!$A$2:$A$9, 0), MATCH(auscathist!M42, Sheet1!$B$1:$GX$1, 0))</f>
        <v>3987653</v>
      </c>
    </row>
    <row r="43" spans="1:14">
      <c r="A43">
        <v>42</v>
      </c>
      <c r="B43">
        <v>2006</v>
      </c>
      <c r="C43">
        <v>1</v>
      </c>
      <c r="D43" s="1">
        <v>38749</v>
      </c>
      <c r="E43" t="s">
        <v>15</v>
      </c>
      <c r="F43" t="s">
        <v>18</v>
      </c>
      <c r="G43" t="s">
        <v>18</v>
      </c>
      <c r="H43" t="s">
        <v>84</v>
      </c>
      <c r="I43">
        <v>14</v>
      </c>
      <c r="J43">
        <v>16</v>
      </c>
      <c r="K43">
        <v>17.154</v>
      </c>
      <c r="L43" t="s">
        <v>32</v>
      </c>
      <c r="M43" t="str">
        <f t="shared" si="0"/>
        <v>2006-Q1</v>
      </c>
      <c r="N43" s="5">
        <f>INDEX(Sheet1!$B$2:$GX$9, MATCH(auscathist!L43, Sheet1!$A$2:$A$9, 0), MATCH(auscathist!M43, Sheet1!$B$1:$GX$1, 0))</f>
        <v>5048207</v>
      </c>
    </row>
    <row r="44" spans="1:14">
      <c r="A44">
        <v>43</v>
      </c>
      <c r="B44">
        <v>2006</v>
      </c>
      <c r="C44">
        <v>1</v>
      </c>
      <c r="D44" s="1">
        <v>38737</v>
      </c>
      <c r="E44" t="s">
        <v>15</v>
      </c>
      <c r="F44" t="s">
        <v>18</v>
      </c>
      <c r="G44" t="s">
        <v>18</v>
      </c>
      <c r="H44" t="s">
        <v>85</v>
      </c>
      <c r="I44">
        <v>22.4</v>
      </c>
      <c r="J44">
        <v>28</v>
      </c>
      <c r="K44">
        <v>30.02</v>
      </c>
      <c r="L44" t="s">
        <v>32</v>
      </c>
      <c r="M44" t="str">
        <f t="shared" si="0"/>
        <v>2006-Q1</v>
      </c>
      <c r="N44" s="5">
        <f>INDEX(Sheet1!$B$2:$GX$9, MATCH(auscathist!L44, Sheet1!$A$2:$A$9, 0), MATCH(auscathist!M44, Sheet1!$B$1:$GX$1, 0))</f>
        <v>5048207</v>
      </c>
    </row>
    <row r="45" spans="1:14">
      <c r="A45">
        <v>44</v>
      </c>
      <c r="B45">
        <v>2005</v>
      </c>
      <c r="C45">
        <v>4</v>
      </c>
      <c r="D45" s="1">
        <v>38701</v>
      </c>
      <c r="E45" t="s">
        <v>15</v>
      </c>
      <c r="F45" t="s">
        <v>24</v>
      </c>
      <c r="G45" t="s">
        <v>24</v>
      </c>
      <c r="H45" t="s">
        <v>86</v>
      </c>
      <c r="I45">
        <v>10</v>
      </c>
      <c r="J45">
        <v>36</v>
      </c>
      <c r="K45">
        <v>38.597000000000001</v>
      </c>
      <c r="L45" t="s">
        <v>22</v>
      </c>
      <c r="M45" t="str">
        <f t="shared" si="0"/>
        <v>2005-Q4</v>
      </c>
      <c r="N45" s="5">
        <f>INDEX(Sheet1!$B$2:$GX$9, MATCH(auscathist!L45, Sheet1!$A$2:$A$9, 0), MATCH(auscathist!M45, Sheet1!$B$1:$GX$1, 0))</f>
        <v>6718023</v>
      </c>
    </row>
    <row r="46" spans="1:14">
      <c r="A46">
        <v>45</v>
      </c>
      <c r="B46">
        <v>2005</v>
      </c>
      <c r="C46">
        <v>4</v>
      </c>
      <c r="D46" s="1">
        <v>38663</v>
      </c>
      <c r="E46" t="s">
        <v>15</v>
      </c>
      <c r="F46" t="s">
        <v>62</v>
      </c>
      <c r="G46" t="s">
        <v>62</v>
      </c>
      <c r="H46" t="s">
        <v>87</v>
      </c>
      <c r="I46">
        <v>3</v>
      </c>
      <c r="J46">
        <v>4</v>
      </c>
      <c r="K46">
        <v>4.2889999999999997</v>
      </c>
      <c r="L46" t="s">
        <v>22</v>
      </c>
      <c r="M46" t="str">
        <f t="shared" si="0"/>
        <v>2005-Q4</v>
      </c>
      <c r="N46" s="5">
        <f>INDEX(Sheet1!$B$2:$GX$9, MATCH(auscathist!L46, Sheet1!$A$2:$A$9, 0), MATCH(auscathist!M46, Sheet1!$B$1:$GX$1, 0))</f>
        <v>6718023</v>
      </c>
    </row>
    <row r="47" spans="1:14">
      <c r="A47">
        <v>46</v>
      </c>
      <c r="B47">
        <v>2005</v>
      </c>
      <c r="C47">
        <v>4</v>
      </c>
      <c r="D47" s="1">
        <v>38662</v>
      </c>
      <c r="E47" t="s">
        <v>15</v>
      </c>
      <c r="F47" t="s">
        <v>62</v>
      </c>
      <c r="G47" t="s">
        <v>62</v>
      </c>
      <c r="H47" t="s">
        <v>88</v>
      </c>
      <c r="I47">
        <v>4</v>
      </c>
      <c r="J47">
        <v>5</v>
      </c>
      <c r="K47">
        <v>5.3609999999999998</v>
      </c>
      <c r="L47" t="s">
        <v>22</v>
      </c>
      <c r="M47" t="str">
        <f t="shared" si="0"/>
        <v>2005-Q4</v>
      </c>
      <c r="N47" s="5">
        <f>INDEX(Sheet1!$B$2:$GX$9, MATCH(auscathist!L47, Sheet1!$A$2:$A$9, 0), MATCH(auscathist!M47, Sheet1!$B$1:$GX$1, 0))</f>
        <v>6718023</v>
      </c>
    </row>
    <row r="48" spans="1:14">
      <c r="A48">
        <v>47</v>
      </c>
      <c r="B48">
        <v>2005</v>
      </c>
      <c r="C48">
        <v>4</v>
      </c>
      <c r="D48" s="1">
        <v>38637</v>
      </c>
      <c r="E48" t="s">
        <v>15</v>
      </c>
      <c r="F48" t="s">
        <v>79</v>
      </c>
      <c r="G48" t="s">
        <v>68</v>
      </c>
      <c r="H48" t="s">
        <v>89</v>
      </c>
      <c r="I48">
        <v>61</v>
      </c>
      <c r="J48">
        <v>89</v>
      </c>
      <c r="K48">
        <v>95.421000000000006</v>
      </c>
      <c r="L48" t="s">
        <v>16</v>
      </c>
      <c r="M48" t="str">
        <f t="shared" si="0"/>
        <v>2005-Q4</v>
      </c>
      <c r="N48" s="5">
        <f>INDEX(Sheet1!$B$2:$GX$9, MATCH(auscathist!L48, Sheet1!$A$2:$A$9, 0), MATCH(auscathist!M48, Sheet1!$B$1:$GX$1, 0))</f>
        <v>3964175</v>
      </c>
    </row>
    <row r="49" spans="1:14">
      <c r="A49">
        <v>48</v>
      </c>
      <c r="B49">
        <v>2005</v>
      </c>
      <c r="C49">
        <v>2</v>
      </c>
      <c r="D49" s="1">
        <v>38533</v>
      </c>
      <c r="E49" t="s">
        <v>15</v>
      </c>
      <c r="F49" t="s">
        <v>62</v>
      </c>
      <c r="G49" t="s">
        <v>62</v>
      </c>
      <c r="H49" t="s">
        <v>90</v>
      </c>
      <c r="I49">
        <v>53.9</v>
      </c>
      <c r="J49">
        <v>93</v>
      </c>
      <c r="K49">
        <v>99.709000000000003</v>
      </c>
      <c r="L49" t="s">
        <v>16</v>
      </c>
      <c r="M49" t="str">
        <f t="shared" si="0"/>
        <v>2005-Q2</v>
      </c>
      <c r="N49" s="5">
        <f>INDEX(Sheet1!$B$2:$GX$9, MATCH(auscathist!L49, Sheet1!$A$2:$A$9, 0), MATCH(auscathist!M49, Sheet1!$B$1:$GX$1, 0))</f>
        <v>3918494</v>
      </c>
    </row>
    <row r="50" spans="1:14">
      <c r="A50">
        <v>49</v>
      </c>
      <c r="B50">
        <v>2005</v>
      </c>
      <c r="C50">
        <v>2</v>
      </c>
      <c r="D50" s="1">
        <v>38533</v>
      </c>
      <c r="E50" t="s">
        <v>15</v>
      </c>
      <c r="F50" t="s">
        <v>62</v>
      </c>
      <c r="G50" t="s">
        <v>62</v>
      </c>
      <c r="H50" t="s">
        <v>91</v>
      </c>
      <c r="I50">
        <v>25</v>
      </c>
      <c r="J50">
        <v>37</v>
      </c>
      <c r="K50">
        <v>39.668999999999997</v>
      </c>
      <c r="L50" t="s">
        <v>22</v>
      </c>
      <c r="M50" t="str">
        <f t="shared" si="0"/>
        <v>2005-Q2</v>
      </c>
      <c r="N50" s="5">
        <f>INDEX(Sheet1!$B$2:$GX$9, MATCH(auscathist!L50, Sheet1!$A$2:$A$9, 0), MATCH(auscathist!M50, Sheet1!$B$1:$GX$1, 0))</f>
        <v>6693206</v>
      </c>
    </row>
    <row r="51" spans="1:14">
      <c r="A51">
        <v>50</v>
      </c>
      <c r="B51">
        <v>2005</v>
      </c>
      <c r="C51">
        <v>2</v>
      </c>
      <c r="D51" s="1">
        <v>38491</v>
      </c>
      <c r="E51" t="s">
        <v>15</v>
      </c>
      <c r="F51" t="s">
        <v>79</v>
      </c>
      <c r="G51" t="s">
        <v>68</v>
      </c>
      <c r="H51" t="s">
        <v>57</v>
      </c>
      <c r="I51">
        <v>17.600000000000001</v>
      </c>
      <c r="J51">
        <v>28</v>
      </c>
      <c r="K51">
        <v>30.02</v>
      </c>
      <c r="L51" t="s">
        <v>16</v>
      </c>
      <c r="M51" t="str">
        <f t="shared" si="0"/>
        <v>2005-Q2</v>
      </c>
      <c r="N51" s="5">
        <f>INDEX(Sheet1!$B$2:$GX$9, MATCH(auscathist!L51, Sheet1!$A$2:$A$9, 0), MATCH(auscathist!M51, Sheet1!$B$1:$GX$1, 0))</f>
        <v>3918494</v>
      </c>
    </row>
    <row r="52" spans="1:14">
      <c r="A52">
        <v>51</v>
      </c>
      <c r="B52">
        <v>2005</v>
      </c>
      <c r="C52">
        <v>2</v>
      </c>
      <c r="D52" s="1">
        <v>38488</v>
      </c>
      <c r="E52" t="s">
        <v>15</v>
      </c>
      <c r="F52" t="s">
        <v>24</v>
      </c>
      <c r="G52" t="s">
        <v>24</v>
      </c>
      <c r="H52" t="s">
        <v>92</v>
      </c>
      <c r="I52">
        <v>53.2</v>
      </c>
      <c r="J52">
        <v>108</v>
      </c>
      <c r="K52">
        <v>115.792</v>
      </c>
      <c r="L52" t="s">
        <v>20</v>
      </c>
      <c r="M52" t="str">
        <f t="shared" si="0"/>
        <v>2005-Q2</v>
      </c>
      <c r="N52" s="5">
        <f>INDEX(Sheet1!$B$2:$GX$9, MATCH(auscathist!L52, Sheet1!$A$2:$A$9, 0), MATCH(auscathist!M52, Sheet1!$B$1:$GX$1, 0))</f>
        <v>2011207</v>
      </c>
    </row>
    <row r="53" spans="1:14">
      <c r="A53">
        <v>52</v>
      </c>
      <c r="B53">
        <v>2005</v>
      </c>
      <c r="C53">
        <v>1</v>
      </c>
      <c r="D53" s="1">
        <v>38403</v>
      </c>
      <c r="E53" t="s">
        <v>15</v>
      </c>
      <c r="F53" t="s">
        <v>93</v>
      </c>
      <c r="G53" t="s">
        <v>68</v>
      </c>
      <c r="H53" t="s">
        <v>94</v>
      </c>
      <c r="I53">
        <v>216.7</v>
      </c>
      <c r="J53">
        <v>304</v>
      </c>
      <c r="K53">
        <v>325.93200000000002</v>
      </c>
      <c r="L53" t="s">
        <v>22</v>
      </c>
      <c r="M53" t="str">
        <f t="shared" si="0"/>
        <v>2005-Q1</v>
      </c>
      <c r="N53" s="5">
        <f>INDEX(Sheet1!$B$2:$GX$9, MATCH(auscathist!L53, Sheet1!$A$2:$A$9, 0), MATCH(auscathist!M53, Sheet1!$B$1:$GX$1, 0))</f>
        <v>6685875</v>
      </c>
    </row>
    <row r="54" spans="1:14">
      <c r="A54">
        <v>53</v>
      </c>
      <c r="B54">
        <v>2005</v>
      </c>
      <c r="C54">
        <v>1</v>
      </c>
      <c r="D54" s="1">
        <v>38363</v>
      </c>
      <c r="E54" t="s">
        <v>15</v>
      </c>
      <c r="F54" t="s">
        <v>18</v>
      </c>
      <c r="G54" t="s">
        <v>18</v>
      </c>
      <c r="H54" t="s">
        <v>95</v>
      </c>
      <c r="I54">
        <v>27.7</v>
      </c>
      <c r="J54">
        <v>41</v>
      </c>
      <c r="K54">
        <v>43.957999999999998</v>
      </c>
      <c r="L54" t="s">
        <v>96</v>
      </c>
      <c r="M54" t="str">
        <f t="shared" si="0"/>
        <v>2005-Q1</v>
      </c>
      <c r="N54" s="5">
        <f>INDEX(Sheet1!$B$2:$GX$9, MATCH(auscathist!L54, Sheet1!$A$2:$A$9, 0), MATCH(auscathist!M54, Sheet1!$B$1:$GX$1, 0))</f>
        <v>1536798</v>
      </c>
    </row>
    <row r="55" spans="1:14">
      <c r="A55">
        <v>54</v>
      </c>
      <c r="B55">
        <v>2004</v>
      </c>
      <c r="C55">
        <v>4</v>
      </c>
      <c r="D55" s="1">
        <v>38347</v>
      </c>
      <c r="E55" t="s">
        <v>15</v>
      </c>
      <c r="F55" t="s">
        <v>97</v>
      </c>
      <c r="G55" t="s">
        <v>53</v>
      </c>
      <c r="H55" t="s">
        <v>98</v>
      </c>
      <c r="I55">
        <v>3</v>
      </c>
      <c r="J55">
        <v>3</v>
      </c>
      <c r="K55">
        <v>3.2160000000000002</v>
      </c>
      <c r="L55" t="s">
        <v>20</v>
      </c>
      <c r="M55" t="str">
        <f t="shared" si="0"/>
        <v>2004-Q4</v>
      </c>
      <c r="N55" s="5">
        <f>INDEX(Sheet1!$B$2:$GX$9, MATCH(auscathist!L55, Sheet1!$A$2:$A$9, 0), MATCH(auscathist!M55, Sheet1!$B$1:$GX$1, 0))</f>
        <v>1994241</v>
      </c>
    </row>
    <row r="56" spans="1:14">
      <c r="A56">
        <v>55</v>
      </c>
      <c r="B56">
        <v>2004</v>
      </c>
      <c r="C56">
        <v>4</v>
      </c>
      <c r="D56" s="1">
        <v>38334</v>
      </c>
      <c r="E56" t="s">
        <v>15</v>
      </c>
      <c r="F56" t="s">
        <v>93</v>
      </c>
      <c r="G56" t="s">
        <v>68</v>
      </c>
      <c r="H56" t="s">
        <v>99</v>
      </c>
      <c r="I56">
        <v>32.299999999999997</v>
      </c>
      <c r="J56">
        <v>46</v>
      </c>
      <c r="K56">
        <v>49.319000000000003</v>
      </c>
      <c r="L56" t="s">
        <v>22</v>
      </c>
      <c r="M56" t="str">
        <f t="shared" si="0"/>
        <v>2004-Q4</v>
      </c>
      <c r="N56" s="5">
        <f>INDEX(Sheet1!$B$2:$GX$9, MATCH(auscathist!L56, Sheet1!$A$2:$A$9, 0), MATCH(auscathist!M56, Sheet1!$B$1:$GX$1, 0))</f>
        <v>6669206</v>
      </c>
    </row>
    <row r="57" spans="1:14">
      <c r="A57">
        <v>56</v>
      </c>
      <c r="B57">
        <v>2004</v>
      </c>
      <c r="C57">
        <v>4</v>
      </c>
      <c r="D57" s="1">
        <v>38334</v>
      </c>
      <c r="E57" t="s">
        <v>15</v>
      </c>
      <c r="F57" t="s">
        <v>24</v>
      </c>
      <c r="G57" t="s">
        <v>24</v>
      </c>
      <c r="H57" t="s">
        <v>100</v>
      </c>
      <c r="I57">
        <v>3.5</v>
      </c>
      <c r="J57">
        <v>6</v>
      </c>
      <c r="K57">
        <v>6.4329999999999998</v>
      </c>
      <c r="L57" t="s">
        <v>16</v>
      </c>
      <c r="M57" t="str">
        <f t="shared" si="0"/>
        <v>2004-Q4</v>
      </c>
      <c r="N57" s="5">
        <f>INDEX(Sheet1!$B$2:$GX$9, MATCH(auscathist!L57, Sheet1!$A$2:$A$9, 0), MATCH(auscathist!M57, Sheet1!$B$1:$GX$1, 0))</f>
        <v>3872351</v>
      </c>
    </row>
    <row r="58" spans="1:14">
      <c r="A58">
        <v>57</v>
      </c>
      <c r="B58">
        <v>2004</v>
      </c>
      <c r="C58">
        <v>1</v>
      </c>
      <c r="D58" s="1">
        <v>38015</v>
      </c>
      <c r="E58" t="s">
        <v>15</v>
      </c>
      <c r="F58" t="s">
        <v>24</v>
      </c>
      <c r="G58" t="s">
        <v>24</v>
      </c>
      <c r="H58" t="s">
        <v>35</v>
      </c>
      <c r="I58">
        <v>18</v>
      </c>
      <c r="J58">
        <v>28</v>
      </c>
      <c r="K58">
        <v>30.02</v>
      </c>
      <c r="L58" t="s">
        <v>32</v>
      </c>
      <c r="M58" t="str">
        <f t="shared" si="0"/>
        <v>2004-Q1</v>
      </c>
      <c r="N58" s="5">
        <f>INDEX(Sheet1!$B$2:$GX$9, MATCH(auscathist!L58, Sheet1!$A$2:$A$9, 0), MATCH(auscathist!M58, Sheet1!$B$1:$GX$1, 0))</f>
        <v>4918070</v>
      </c>
    </row>
    <row r="59" spans="1:14">
      <c r="A59">
        <v>58</v>
      </c>
      <c r="B59">
        <v>2004</v>
      </c>
      <c r="C59">
        <v>1</v>
      </c>
      <c r="D59" s="1">
        <v>38010</v>
      </c>
      <c r="E59" t="s">
        <v>15</v>
      </c>
      <c r="F59" t="s">
        <v>79</v>
      </c>
      <c r="G59" t="s">
        <v>68</v>
      </c>
      <c r="H59" t="s">
        <v>101</v>
      </c>
      <c r="I59">
        <v>28.5</v>
      </c>
      <c r="J59">
        <v>54</v>
      </c>
      <c r="K59">
        <v>57.896000000000001</v>
      </c>
      <c r="L59" t="s">
        <v>16</v>
      </c>
      <c r="M59" t="str">
        <f t="shared" si="0"/>
        <v>2004-Q1</v>
      </c>
      <c r="N59" s="5">
        <f>INDEX(Sheet1!$B$2:$GX$9, MATCH(auscathist!L59, Sheet1!$A$2:$A$9, 0), MATCH(auscathist!M59, Sheet1!$B$1:$GX$1, 0))</f>
        <v>3810921</v>
      </c>
    </row>
    <row r="60" spans="1:14">
      <c r="A60">
        <v>59</v>
      </c>
      <c r="B60">
        <v>2003</v>
      </c>
      <c r="C60">
        <v>4</v>
      </c>
      <c r="D60" s="1">
        <v>37986</v>
      </c>
      <c r="E60" t="s">
        <v>15</v>
      </c>
      <c r="F60" t="s">
        <v>79</v>
      </c>
      <c r="G60" t="s">
        <v>68</v>
      </c>
      <c r="H60" t="s">
        <v>35</v>
      </c>
      <c r="I60">
        <v>100</v>
      </c>
      <c r="J60">
        <v>156</v>
      </c>
      <c r="K60">
        <v>167.255</v>
      </c>
      <c r="L60" t="s">
        <v>32</v>
      </c>
      <c r="M60" t="str">
        <f t="shared" si="0"/>
        <v>2003-Q4</v>
      </c>
      <c r="N60" s="5">
        <f>INDEX(Sheet1!$B$2:$GX$9, MATCH(auscathist!L60, Sheet1!$A$2:$A$9, 0), MATCH(auscathist!M60, Sheet1!$B$1:$GX$1, 0))</f>
        <v>4900176</v>
      </c>
    </row>
    <row r="61" spans="1:14">
      <c r="A61">
        <v>60</v>
      </c>
      <c r="B61">
        <v>2003</v>
      </c>
      <c r="C61">
        <v>3</v>
      </c>
      <c r="D61" s="1">
        <v>37857</v>
      </c>
      <c r="E61" t="s">
        <v>15</v>
      </c>
      <c r="F61" t="s">
        <v>24</v>
      </c>
      <c r="G61" t="s">
        <v>24</v>
      </c>
      <c r="I61">
        <v>25</v>
      </c>
      <c r="J61">
        <v>39</v>
      </c>
      <c r="K61">
        <v>41.814</v>
      </c>
      <c r="L61" t="s">
        <v>22</v>
      </c>
      <c r="M61" t="str">
        <f t="shared" si="0"/>
        <v>2003-Q3</v>
      </c>
      <c r="N61" s="5">
        <f>INDEX(Sheet1!$B$2:$GX$9, MATCH(auscathist!L61, Sheet1!$A$2:$A$9, 0), MATCH(auscathist!M61, Sheet1!$B$1:$GX$1, 0))</f>
        <v>6627538</v>
      </c>
    </row>
    <row r="62" spans="1:14">
      <c r="A62">
        <v>61</v>
      </c>
      <c r="B62">
        <v>2003</v>
      </c>
      <c r="C62">
        <v>1</v>
      </c>
      <c r="D62" s="1">
        <v>37639</v>
      </c>
      <c r="E62" t="s">
        <v>15</v>
      </c>
      <c r="F62" t="s">
        <v>18</v>
      </c>
      <c r="G62" t="s">
        <v>18</v>
      </c>
      <c r="H62" t="s">
        <v>102</v>
      </c>
      <c r="I62">
        <v>350</v>
      </c>
      <c r="J62">
        <v>660</v>
      </c>
      <c r="K62">
        <v>707.61500000000001</v>
      </c>
      <c r="L62" t="s">
        <v>103</v>
      </c>
      <c r="M62" t="str">
        <f t="shared" si="0"/>
        <v>2003-Q1</v>
      </c>
      <c r="N62" s="5">
        <f>INDEX(Sheet1!$B$2:$GX$9, MATCH(auscathist!L62, Sheet1!$A$2:$A$9, 0), MATCH(auscathist!M62, Sheet1!$B$1:$GX$1, 0))</f>
        <v>327083</v>
      </c>
    </row>
    <row r="63" spans="1:14">
      <c r="A63">
        <v>62</v>
      </c>
      <c r="B63">
        <v>2003</v>
      </c>
      <c r="C63">
        <v>1</v>
      </c>
      <c r="D63" s="1">
        <v>37629</v>
      </c>
      <c r="E63" t="s">
        <v>15</v>
      </c>
      <c r="F63" t="s">
        <v>18</v>
      </c>
      <c r="G63" t="s">
        <v>18</v>
      </c>
      <c r="H63" t="s">
        <v>104</v>
      </c>
      <c r="I63">
        <v>12</v>
      </c>
      <c r="J63">
        <v>24</v>
      </c>
      <c r="K63">
        <v>25.731000000000002</v>
      </c>
      <c r="L63" t="s">
        <v>103</v>
      </c>
      <c r="M63" t="str">
        <f t="shared" si="0"/>
        <v>2003-Q1</v>
      </c>
      <c r="N63" s="5">
        <f>INDEX(Sheet1!$B$2:$GX$9, MATCH(auscathist!L63, Sheet1!$A$2:$A$9, 0), MATCH(auscathist!M63, Sheet1!$B$1:$GX$1, 0))</f>
        <v>327083</v>
      </c>
    </row>
    <row r="64" spans="1:14">
      <c r="A64">
        <v>63</v>
      </c>
      <c r="B64">
        <v>2002</v>
      </c>
      <c r="C64">
        <v>4</v>
      </c>
      <c r="D64" s="1">
        <v>37614</v>
      </c>
      <c r="E64" t="s">
        <v>15</v>
      </c>
      <c r="F64" t="s">
        <v>24</v>
      </c>
      <c r="G64" t="s">
        <v>24</v>
      </c>
      <c r="H64" t="s">
        <v>105</v>
      </c>
      <c r="I64">
        <v>2</v>
      </c>
      <c r="J64">
        <v>4</v>
      </c>
      <c r="K64">
        <v>4.2889999999999997</v>
      </c>
      <c r="L64" t="s">
        <v>22</v>
      </c>
      <c r="M64" t="str">
        <f t="shared" si="0"/>
        <v>2002-Q4</v>
      </c>
      <c r="N64" s="5">
        <f>INDEX(Sheet1!$B$2:$GX$9, MATCH(auscathist!L64, Sheet1!$A$2:$A$9, 0), MATCH(auscathist!M64, Sheet1!$B$1:$GX$1, 0))</f>
        <v>6599441</v>
      </c>
    </row>
    <row r="65" spans="1:14">
      <c r="A65">
        <v>64</v>
      </c>
      <c r="B65">
        <v>2002</v>
      </c>
      <c r="C65">
        <v>4</v>
      </c>
      <c r="D65" s="1">
        <v>37600</v>
      </c>
      <c r="E65" t="s">
        <v>15</v>
      </c>
      <c r="F65" t="s">
        <v>24</v>
      </c>
      <c r="G65" t="s">
        <v>24</v>
      </c>
      <c r="H65" t="s">
        <v>105</v>
      </c>
      <c r="I65">
        <v>3.4</v>
      </c>
      <c r="J65">
        <v>8</v>
      </c>
      <c r="K65">
        <v>8.577</v>
      </c>
      <c r="L65" t="s">
        <v>22</v>
      </c>
      <c r="M65" t="str">
        <f t="shared" si="0"/>
        <v>2002-Q4</v>
      </c>
      <c r="N65" s="5">
        <f>INDEX(Sheet1!$B$2:$GX$9, MATCH(auscathist!L65, Sheet1!$A$2:$A$9, 0), MATCH(auscathist!M65, Sheet1!$B$1:$GX$1, 0))</f>
        <v>6599441</v>
      </c>
    </row>
    <row r="66" spans="1:14">
      <c r="A66">
        <v>65</v>
      </c>
      <c r="B66">
        <v>2002</v>
      </c>
      <c r="C66">
        <v>4</v>
      </c>
      <c r="D66" s="1">
        <v>37537</v>
      </c>
      <c r="E66" t="s">
        <v>15</v>
      </c>
      <c r="F66" t="s">
        <v>18</v>
      </c>
      <c r="G66" t="s">
        <v>18</v>
      </c>
      <c r="H66" t="s">
        <v>106</v>
      </c>
      <c r="I66">
        <v>25</v>
      </c>
      <c r="J66">
        <v>43</v>
      </c>
      <c r="K66">
        <v>46.101999999999997</v>
      </c>
      <c r="L66" t="s">
        <v>22</v>
      </c>
      <c r="M66" t="str">
        <f t="shared" si="0"/>
        <v>2002-Q4</v>
      </c>
      <c r="N66" s="5">
        <f>INDEX(Sheet1!$B$2:$GX$9, MATCH(auscathist!L66, Sheet1!$A$2:$A$9, 0), MATCH(auscathist!M66, Sheet1!$B$1:$GX$1, 0))</f>
        <v>6599441</v>
      </c>
    </row>
    <row r="67" spans="1:14">
      <c r="A67">
        <v>66</v>
      </c>
      <c r="B67">
        <v>2002</v>
      </c>
      <c r="C67">
        <v>1</v>
      </c>
      <c r="D67" s="1">
        <v>37303</v>
      </c>
      <c r="E67" t="s">
        <v>15</v>
      </c>
      <c r="F67" t="s">
        <v>24</v>
      </c>
      <c r="G67" t="s">
        <v>24</v>
      </c>
      <c r="H67" t="s">
        <v>107</v>
      </c>
      <c r="I67">
        <v>10</v>
      </c>
      <c r="J67">
        <v>19</v>
      </c>
      <c r="K67">
        <v>20.370999999999999</v>
      </c>
      <c r="L67" t="s">
        <v>22</v>
      </c>
      <c r="M67" t="str">
        <f t="shared" ref="M67:M130" si="1">B67&amp;"-Q"&amp;C67</f>
        <v>2002-Q1</v>
      </c>
      <c r="N67" s="5">
        <f>INDEX(Sheet1!$B$2:$GX$9, MATCH(auscathist!L67, Sheet1!$A$2:$A$9, 0), MATCH(auscathist!M67, Sheet1!$B$1:$GX$1, 0))</f>
        <v>6575296</v>
      </c>
    </row>
    <row r="68" spans="1:14">
      <c r="A68">
        <v>67</v>
      </c>
      <c r="B68">
        <v>2002</v>
      </c>
      <c r="C68">
        <v>1</v>
      </c>
      <c r="D68" s="1">
        <v>37272</v>
      </c>
      <c r="E68" t="s">
        <v>15</v>
      </c>
      <c r="F68" t="s">
        <v>24</v>
      </c>
      <c r="G68" t="s">
        <v>24</v>
      </c>
      <c r="H68" t="s">
        <v>108</v>
      </c>
      <c r="I68">
        <v>10</v>
      </c>
      <c r="J68">
        <v>36</v>
      </c>
      <c r="K68">
        <v>38.597000000000001</v>
      </c>
      <c r="L68" t="s">
        <v>22</v>
      </c>
      <c r="M68" t="str">
        <f t="shared" si="1"/>
        <v>2002-Q1</v>
      </c>
      <c r="N68" s="5">
        <f>INDEX(Sheet1!$B$2:$GX$9, MATCH(auscathist!L68, Sheet1!$A$2:$A$9, 0), MATCH(auscathist!M68, Sheet1!$B$1:$GX$1, 0))</f>
        <v>6575296</v>
      </c>
    </row>
    <row r="69" spans="1:14">
      <c r="A69">
        <v>68</v>
      </c>
      <c r="B69">
        <v>2001</v>
      </c>
      <c r="C69">
        <v>4</v>
      </c>
      <c r="D69" s="1">
        <v>37255</v>
      </c>
      <c r="E69" t="s">
        <v>15</v>
      </c>
      <c r="F69" t="s">
        <v>24</v>
      </c>
      <c r="G69" t="s">
        <v>24</v>
      </c>
      <c r="H69" t="s">
        <v>109</v>
      </c>
      <c r="I69">
        <v>30</v>
      </c>
      <c r="J69">
        <v>57</v>
      </c>
      <c r="K69">
        <v>61.112000000000002</v>
      </c>
      <c r="L69" t="s">
        <v>22</v>
      </c>
      <c r="M69" t="str">
        <f t="shared" si="1"/>
        <v>2001-Q4</v>
      </c>
      <c r="N69" s="5">
        <f>INDEX(Sheet1!$B$2:$GX$9, MATCH(auscathist!L69, Sheet1!$A$2:$A$9, 0), MATCH(auscathist!M69, Sheet1!$B$1:$GX$1, 0))</f>
        <v>6558484</v>
      </c>
    </row>
    <row r="70" spans="1:14">
      <c r="A70">
        <v>69</v>
      </c>
      <c r="B70">
        <v>2001</v>
      </c>
      <c r="C70">
        <v>4</v>
      </c>
      <c r="D70" s="1">
        <v>37250</v>
      </c>
      <c r="E70" t="s">
        <v>15</v>
      </c>
      <c r="F70" t="s">
        <v>18</v>
      </c>
      <c r="G70" t="s">
        <v>18</v>
      </c>
      <c r="H70" t="s">
        <v>110</v>
      </c>
      <c r="I70">
        <v>69</v>
      </c>
      <c r="J70">
        <v>131</v>
      </c>
      <c r="K70">
        <v>140.45099999999999</v>
      </c>
      <c r="L70" t="s">
        <v>22</v>
      </c>
      <c r="M70" t="str">
        <f t="shared" si="1"/>
        <v>2001-Q4</v>
      </c>
      <c r="N70" s="5">
        <f>INDEX(Sheet1!$B$2:$GX$9, MATCH(auscathist!L70, Sheet1!$A$2:$A$9, 0), MATCH(auscathist!M70, Sheet1!$B$1:$GX$1, 0))</f>
        <v>6558484</v>
      </c>
    </row>
    <row r="71" spans="1:14">
      <c r="A71">
        <v>70</v>
      </c>
      <c r="B71">
        <v>2001</v>
      </c>
      <c r="C71">
        <v>4</v>
      </c>
      <c r="D71" s="1">
        <v>37213</v>
      </c>
      <c r="E71" t="s">
        <v>15</v>
      </c>
      <c r="F71" t="s">
        <v>111</v>
      </c>
      <c r="G71" t="s">
        <v>112</v>
      </c>
      <c r="H71" t="s">
        <v>113</v>
      </c>
      <c r="I71">
        <v>30</v>
      </c>
      <c r="J71">
        <v>57</v>
      </c>
      <c r="K71">
        <v>61.112000000000002</v>
      </c>
      <c r="L71" t="s">
        <v>22</v>
      </c>
      <c r="M71" t="str">
        <f t="shared" si="1"/>
        <v>2001-Q4</v>
      </c>
      <c r="N71" s="5">
        <f>INDEX(Sheet1!$B$2:$GX$9, MATCH(auscathist!L71, Sheet1!$A$2:$A$9, 0), MATCH(auscathist!M71, Sheet1!$B$1:$GX$1, 0))</f>
        <v>6558484</v>
      </c>
    </row>
    <row r="72" spans="1:14">
      <c r="A72">
        <v>71</v>
      </c>
      <c r="B72">
        <v>2001</v>
      </c>
      <c r="C72">
        <v>1</v>
      </c>
      <c r="D72" s="1">
        <v>36959</v>
      </c>
      <c r="E72" t="s">
        <v>15</v>
      </c>
      <c r="F72" t="s">
        <v>62</v>
      </c>
      <c r="G72" t="s">
        <v>62</v>
      </c>
      <c r="H72" t="s">
        <v>57</v>
      </c>
      <c r="I72">
        <v>37</v>
      </c>
      <c r="J72">
        <v>99</v>
      </c>
      <c r="K72">
        <v>106.142</v>
      </c>
      <c r="L72" t="s">
        <v>16</v>
      </c>
      <c r="M72" t="str">
        <f t="shared" si="1"/>
        <v>2001-Q1</v>
      </c>
      <c r="N72" s="5">
        <f>INDEX(Sheet1!$B$2:$GX$9, MATCH(auscathist!L72, Sheet1!$A$2:$A$9, 0), MATCH(auscathist!M72, Sheet1!$B$1:$GX$1, 0))</f>
        <v>3556466</v>
      </c>
    </row>
    <row r="73" spans="1:14">
      <c r="A73">
        <v>72</v>
      </c>
      <c r="B73">
        <v>2001</v>
      </c>
      <c r="C73">
        <v>1</v>
      </c>
      <c r="D73" s="1">
        <v>36956</v>
      </c>
      <c r="E73" t="s">
        <v>15</v>
      </c>
      <c r="F73" t="s">
        <v>62</v>
      </c>
      <c r="G73" t="s">
        <v>62</v>
      </c>
      <c r="H73" t="s">
        <v>114</v>
      </c>
      <c r="I73">
        <v>25</v>
      </c>
      <c r="J73">
        <v>45</v>
      </c>
      <c r="K73">
        <v>48.246000000000002</v>
      </c>
      <c r="L73" t="s">
        <v>22</v>
      </c>
      <c r="M73" t="str">
        <f t="shared" si="1"/>
        <v>2001-Q1</v>
      </c>
      <c r="N73" s="5">
        <f>INDEX(Sheet1!$B$2:$GX$9, MATCH(auscathist!L73, Sheet1!$A$2:$A$9, 0), MATCH(auscathist!M73, Sheet1!$B$1:$GX$1, 0))</f>
        <v>6513844</v>
      </c>
    </row>
    <row r="74" spans="1:14">
      <c r="A74">
        <v>73</v>
      </c>
      <c r="B74">
        <v>2001</v>
      </c>
      <c r="C74">
        <v>1</v>
      </c>
      <c r="D74" s="1">
        <v>36908</v>
      </c>
      <c r="E74" t="s">
        <v>15</v>
      </c>
      <c r="F74" t="s">
        <v>24</v>
      </c>
      <c r="G74" t="s">
        <v>24</v>
      </c>
      <c r="H74" t="s">
        <v>115</v>
      </c>
      <c r="I74">
        <v>35</v>
      </c>
      <c r="J74">
        <v>65</v>
      </c>
      <c r="K74">
        <v>69.688999999999993</v>
      </c>
      <c r="L74" t="s">
        <v>22</v>
      </c>
      <c r="M74" t="str">
        <f t="shared" si="1"/>
        <v>2001-Q1</v>
      </c>
      <c r="N74" s="5">
        <f>INDEX(Sheet1!$B$2:$GX$9, MATCH(auscathist!L74, Sheet1!$A$2:$A$9, 0), MATCH(auscathist!M74, Sheet1!$B$1:$GX$1, 0))</f>
        <v>6513844</v>
      </c>
    </row>
    <row r="75" spans="1:14">
      <c r="A75">
        <v>74</v>
      </c>
      <c r="B75">
        <v>2001</v>
      </c>
      <c r="C75">
        <v>1</v>
      </c>
      <c r="D75" s="1">
        <v>36906</v>
      </c>
      <c r="E75" t="s">
        <v>15</v>
      </c>
      <c r="F75" t="s">
        <v>24</v>
      </c>
      <c r="G75" t="s">
        <v>24</v>
      </c>
      <c r="H75" t="s">
        <v>107</v>
      </c>
      <c r="I75">
        <v>12</v>
      </c>
      <c r="J75">
        <v>24</v>
      </c>
      <c r="K75">
        <v>25.731000000000002</v>
      </c>
      <c r="L75" t="s">
        <v>22</v>
      </c>
      <c r="M75" t="str">
        <f t="shared" si="1"/>
        <v>2001-Q1</v>
      </c>
      <c r="N75" s="5">
        <f>INDEX(Sheet1!$B$2:$GX$9, MATCH(auscathist!L75, Sheet1!$A$2:$A$9, 0), MATCH(auscathist!M75, Sheet1!$B$1:$GX$1, 0))</f>
        <v>6513844</v>
      </c>
    </row>
    <row r="76" spans="1:14">
      <c r="A76">
        <v>75</v>
      </c>
      <c r="B76">
        <v>2001</v>
      </c>
      <c r="C76">
        <v>1</v>
      </c>
      <c r="D76" s="1">
        <v>36897</v>
      </c>
      <c r="E76" t="s">
        <v>15</v>
      </c>
      <c r="F76" t="s">
        <v>24</v>
      </c>
      <c r="G76" t="s">
        <v>24</v>
      </c>
      <c r="H76" t="s">
        <v>116</v>
      </c>
      <c r="I76">
        <v>15</v>
      </c>
      <c r="J76">
        <v>28</v>
      </c>
      <c r="K76">
        <v>30.02</v>
      </c>
      <c r="L76" t="s">
        <v>22</v>
      </c>
      <c r="M76" t="str">
        <f t="shared" si="1"/>
        <v>2001-Q1</v>
      </c>
      <c r="N76" s="5">
        <f>INDEX(Sheet1!$B$2:$GX$9, MATCH(auscathist!L76, Sheet1!$A$2:$A$9, 0), MATCH(auscathist!M76, Sheet1!$B$1:$GX$1, 0))</f>
        <v>6513844</v>
      </c>
    </row>
    <row r="77" spans="1:14">
      <c r="A77">
        <v>76</v>
      </c>
      <c r="B77">
        <v>2000</v>
      </c>
      <c r="C77">
        <v>4</v>
      </c>
      <c r="D77" s="1">
        <v>36847</v>
      </c>
      <c r="E77" t="s">
        <v>15</v>
      </c>
      <c r="F77" t="s">
        <v>30</v>
      </c>
      <c r="G77" t="s">
        <v>30</v>
      </c>
      <c r="H77" t="s">
        <v>63</v>
      </c>
      <c r="I77">
        <v>5</v>
      </c>
      <c r="J77">
        <v>13</v>
      </c>
      <c r="K77">
        <v>13.938000000000001</v>
      </c>
      <c r="L77" t="s">
        <v>16</v>
      </c>
      <c r="M77" t="str">
        <f t="shared" si="1"/>
        <v>2000-Q4</v>
      </c>
      <c r="N77" s="5">
        <f>INDEX(Sheet1!$B$2:$GX$9, MATCH(auscathist!L77, Sheet1!$A$2:$A$9, 0), MATCH(auscathist!M77, Sheet1!$B$1:$GX$1, 0))</f>
        <v>3537670</v>
      </c>
    </row>
    <row r="78" spans="1:14">
      <c r="A78">
        <v>77</v>
      </c>
      <c r="B78">
        <v>2000</v>
      </c>
      <c r="C78">
        <v>3</v>
      </c>
      <c r="D78" s="1">
        <v>36799</v>
      </c>
      <c r="E78" t="s">
        <v>15</v>
      </c>
      <c r="F78" t="s">
        <v>24</v>
      </c>
      <c r="G78" t="s">
        <v>24</v>
      </c>
      <c r="H78" t="s">
        <v>117</v>
      </c>
      <c r="I78">
        <v>2</v>
      </c>
      <c r="J78">
        <v>4</v>
      </c>
      <c r="K78">
        <v>4.2889999999999997</v>
      </c>
      <c r="L78" t="s">
        <v>32</v>
      </c>
      <c r="M78" t="str">
        <f t="shared" si="1"/>
        <v>2000-Q3</v>
      </c>
      <c r="N78" s="5">
        <f>INDEX(Sheet1!$B$2:$GX$9, MATCH(auscathist!L78, Sheet1!$A$2:$A$9, 0), MATCH(auscathist!M78, Sheet1!$B$1:$GX$1, 0))</f>
        <v>4718436</v>
      </c>
    </row>
    <row r="79" spans="1:14">
      <c r="A79">
        <v>78</v>
      </c>
      <c r="B79">
        <v>2000</v>
      </c>
      <c r="C79">
        <v>2</v>
      </c>
      <c r="D79" s="1">
        <v>36636</v>
      </c>
      <c r="E79" t="s">
        <v>15</v>
      </c>
      <c r="F79" t="s">
        <v>118</v>
      </c>
      <c r="G79" t="s">
        <v>13</v>
      </c>
      <c r="H79" t="s">
        <v>119</v>
      </c>
      <c r="I79">
        <v>8.5</v>
      </c>
      <c r="J79">
        <v>28</v>
      </c>
      <c r="K79">
        <v>30.02</v>
      </c>
      <c r="L79" t="s">
        <v>20</v>
      </c>
      <c r="M79" t="str">
        <f t="shared" si="1"/>
        <v>2000-Q2</v>
      </c>
      <c r="N79" s="5">
        <f>INDEX(Sheet1!$B$2:$GX$9, MATCH(auscathist!L79, Sheet1!$A$2:$A$9, 0), MATCH(auscathist!M79, Sheet1!$B$1:$GX$1, 0))</f>
        <v>1879093</v>
      </c>
    </row>
    <row r="80" spans="1:14">
      <c r="A80">
        <v>79</v>
      </c>
      <c r="B80">
        <v>2000</v>
      </c>
      <c r="C80">
        <v>2</v>
      </c>
      <c r="D80" s="1">
        <v>36618</v>
      </c>
      <c r="E80" t="s">
        <v>15</v>
      </c>
      <c r="F80" t="s">
        <v>120</v>
      </c>
      <c r="G80" t="s">
        <v>13</v>
      </c>
      <c r="H80" t="s">
        <v>121</v>
      </c>
      <c r="I80">
        <v>15</v>
      </c>
      <c r="J80">
        <v>41</v>
      </c>
      <c r="K80">
        <v>43.957999999999998</v>
      </c>
      <c r="L80" t="s">
        <v>16</v>
      </c>
      <c r="M80" t="str">
        <f t="shared" si="1"/>
        <v>2000-Q2</v>
      </c>
      <c r="N80" s="5">
        <f>INDEX(Sheet1!$B$2:$GX$9, MATCH(auscathist!L80, Sheet1!$A$2:$A$9, 0), MATCH(auscathist!M80, Sheet1!$B$1:$GX$1, 0))</f>
        <v>3509458</v>
      </c>
    </row>
    <row r="81" spans="1:14">
      <c r="A81">
        <v>80</v>
      </c>
      <c r="B81">
        <v>2000</v>
      </c>
      <c r="C81">
        <v>1</v>
      </c>
      <c r="D81" s="1">
        <v>36586</v>
      </c>
      <c r="E81" t="s">
        <v>15</v>
      </c>
      <c r="F81" t="s">
        <v>122</v>
      </c>
      <c r="G81" t="s">
        <v>13</v>
      </c>
      <c r="H81" t="s">
        <v>119</v>
      </c>
      <c r="I81">
        <v>5</v>
      </c>
      <c r="J81">
        <v>14</v>
      </c>
      <c r="K81">
        <v>15.01</v>
      </c>
      <c r="L81" t="s">
        <v>20</v>
      </c>
      <c r="M81" t="str">
        <f t="shared" si="1"/>
        <v>2000-Q1</v>
      </c>
      <c r="N81" s="5">
        <f>INDEX(Sheet1!$B$2:$GX$9, MATCH(auscathist!L81, Sheet1!$A$2:$A$9, 0), MATCH(auscathist!M81, Sheet1!$B$1:$GX$1, 0))</f>
        <v>1874371</v>
      </c>
    </row>
    <row r="82" spans="1:14">
      <c r="A82">
        <v>81</v>
      </c>
      <c r="B82">
        <v>2000</v>
      </c>
      <c r="C82">
        <v>1</v>
      </c>
      <c r="D82" s="1">
        <v>36583</v>
      </c>
      <c r="E82" t="s">
        <v>15</v>
      </c>
      <c r="F82" t="s">
        <v>123</v>
      </c>
      <c r="G82" t="s">
        <v>13</v>
      </c>
      <c r="H82" t="s">
        <v>124</v>
      </c>
      <c r="I82">
        <v>11</v>
      </c>
      <c r="J82">
        <v>31</v>
      </c>
      <c r="K82">
        <v>33.235999999999997</v>
      </c>
      <c r="L82" t="s">
        <v>16</v>
      </c>
      <c r="M82" t="str">
        <f t="shared" si="1"/>
        <v>2000-Q1</v>
      </c>
      <c r="N82" s="5">
        <f>INDEX(Sheet1!$B$2:$GX$9, MATCH(auscathist!L82, Sheet1!$A$2:$A$9, 0), MATCH(auscathist!M82, Sheet1!$B$1:$GX$1, 0))</f>
        <v>3497147</v>
      </c>
    </row>
    <row r="83" spans="1:14">
      <c r="A83">
        <v>82</v>
      </c>
      <c r="B83">
        <v>2000</v>
      </c>
      <c r="C83">
        <v>1</v>
      </c>
      <c r="D83" s="1">
        <v>36563</v>
      </c>
      <c r="E83" t="s">
        <v>15</v>
      </c>
      <c r="F83" t="s">
        <v>62</v>
      </c>
      <c r="G83" t="s">
        <v>62</v>
      </c>
      <c r="H83" t="s">
        <v>125</v>
      </c>
      <c r="I83">
        <v>12</v>
      </c>
      <c r="J83">
        <v>30</v>
      </c>
      <c r="K83">
        <v>32.164000000000001</v>
      </c>
      <c r="L83" t="s">
        <v>16</v>
      </c>
      <c r="M83" t="str">
        <f t="shared" si="1"/>
        <v>2000-Q1</v>
      </c>
      <c r="N83" s="5">
        <f>INDEX(Sheet1!$B$2:$GX$9, MATCH(auscathist!L83, Sheet1!$A$2:$A$9, 0), MATCH(auscathist!M83, Sheet1!$B$1:$GX$1, 0))</f>
        <v>3497147</v>
      </c>
    </row>
    <row r="84" spans="1:14">
      <c r="A84">
        <v>83</v>
      </c>
      <c r="B84">
        <v>2000</v>
      </c>
      <c r="C84">
        <v>1</v>
      </c>
      <c r="D84" s="1">
        <v>36539</v>
      </c>
      <c r="E84" t="s">
        <v>15</v>
      </c>
      <c r="F84" t="s">
        <v>62</v>
      </c>
      <c r="G84" t="s">
        <v>62</v>
      </c>
      <c r="H84" t="s">
        <v>19</v>
      </c>
      <c r="I84">
        <v>5</v>
      </c>
      <c r="J84">
        <v>15</v>
      </c>
      <c r="K84">
        <v>16.082000000000001</v>
      </c>
      <c r="L84" t="s">
        <v>20</v>
      </c>
      <c r="M84" t="str">
        <f t="shared" si="1"/>
        <v>2000-Q1</v>
      </c>
      <c r="N84" s="5">
        <f>INDEX(Sheet1!$B$2:$GX$9, MATCH(auscathist!L84, Sheet1!$A$2:$A$9, 0), MATCH(auscathist!M84, Sheet1!$B$1:$GX$1, 0))</f>
        <v>1874371</v>
      </c>
    </row>
    <row r="85" spans="1:14">
      <c r="A85">
        <v>84</v>
      </c>
      <c r="B85">
        <v>1999</v>
      </c>
      <c r="C85">
        <v>4</v>
      </c>
      <c r="D85" s="1">
        <v>36520</v>
      </c>
      <c r="E85" t="s">
        <v>15</v>
      </c>
      <c r="F85" t="s">
        <v>62</v>
      </c>
      <c r="G85" t="s">
        <v>62</v>
      </c>
      <c r="I85">
        <v>10</v>
      </c>
      <c r="J85">
        <v>23</v>
      </c>
      <c r="K85">
        <v>24.658999999999999</v>
      </c>
      <c r="L85" t="s">
        <v>32</v>
      </c>
      <c r="M85" t="str">
        <f t="shared" si="1"/>
        <v>1999-Q4</v>
      </c>
      <c r="N85" s="5">
        <f>INDEX(Sheet1!$B$2:$GX$9, MATCH(auscathist!L85, Sheet1!$A$2:$A$9, 0), MATCH(auscathist!M85, Sheet1!$B$1:$GX$1, 0))</f>
        <v>4677581</v>
      </c>
    </row>
    <row r="86" spans="1:14">
      <c r="A86">
        <v>85</v>
      </c>
      <c r="B86">
        <v>1999</v>
      </c>
      <c r="C86">
        <v>4</v>
      </c>
      <c r="D86" s="1">
        <v>36457</v>
      </c>
      <c r="E86" t="s">
        <v>15</v>
      </c>
      <c r="F86" t="s">
        <v>24</v>
      </c>
      <c r="G86" t="s">
        <v>24</v>
      </c>
      <c r="H86" t="s">
        <v>107</v>
      </c>
      <c r="I86">
        <v>40</v>
      </c>
      <c r="J86">
        <v>89</v>
      </c>
      <c r="K86">
        <v>95.421000000000006</v>
      </c>
      <c r="L86" t="s">
        <v>22</v>
      </c>
      <c r="M86" t="str">
        <f t="shared" si="1"/>
        <v>1999-Q4</v>
      </c>
      <c r="N86" s="5">
        <f>INDEX(Sheet1!$B$2:$GX$9, MATCH(auscathist!L86, Sheet1!$A$2:$A$9, 0), MATCH(auscathist!M86, Sheet1!$B$1:$GX$1, 0))</f>
        <v>6409971</v>
      </c>
    </row>
    <row r="87" spans="1:14">
      <c r="A87">
        <v>86</v>
      </c>
      <c r="B87">
        <v>1999</v>
      </c>
      <c r="C87">
        <v>4</v>
      </c>
      <c r="D87" s="1">
        <v>36457</v>
      </c>
      <c r="E87" t="s">
        <v>15</v>
      </c>
      <c r="F87" t="s">
        <v>62</v>
      </c>
      <c r="G87" t="s">
        <v>62</v>
      </c>
      <c r="H87" t="s">
        <v>126</v>
      </c>
      <c r="I87">
        <v>5</v>
      </c>
      <c r="J87">
        <v>11</v>
      </c>
      <c r="K87">
        <v>11.794</v>
      </c>
      <c r="L87" t="s">
        <v>22</v>
      </c>
      <c r="M87" t="str">
        <f t="shared" si="1"/>
        <v>1999-Q4</v>
      </c>
      <c r="N87" s="5">
        <f>INDEX(Sheet1!$B$2:$GX$9, MATCH(auscathist!L87, Sheet1!$A$2:$A$9, 0), MATCH(auscathist!M87, Sheet1!$B$1:$GX$1, 0))</f>
        <v>6409971</v>
      </c>
    </row>
    <row r="88" spans="1:14">
      <c r="A88">
        <v>87</v>
      </c>
      <c r="B88">
        <v>1999</v>
      </c>
      <c r="C88">
        <v>2</v>
      </c>
      <c r="D88" s="1">
        <v>36264</v>
      </c>
      <c r="E88" t="s">
        <v>15</v>
      </c>
      <c r="F88" t="s">
        <v>79</v>
      </c>
      <c r="G88" t="s">
        <v>68</v>
      </c>
      <c r="H88" t="s">
        <v>107</v>
      </c>
      <c r="I88">
        <v>1700</v>
      </c>
      <c r="J88">
        <v>4296</v>
      </c>
      <c r="K88">
        <v>4605.9319999999998</v>
      </c>
      <c r="L88" t="s">
        <v>22</v>
      </c>
      <c r="M88" t="str">
        <f t="shared" si="1"/>
        <v>1999-Q2</v>
      </c>
      <c r="N88" s="5">
        <f>INDEX(Sheet1!$B$2:$GX$9, MATCH(auscathist!L88, Sheet1!$A$2:$A$9, 0), MATCH(auscathist!M88, Sheet1!$B$1:$GX$1, 0))</f>
        <v>6375103</v>
      </c>
    </row>
    <row r="89" spans="1:14">
      <c r="A89">
        <v>88</v>
      </c>
      <c r="B89">
        <v>1999</v>
      </c>
      <c r="C89">
        <v>1</v>
      </c>
      <c r="D89" s="1">
        <v>36241</v>
      </c>
      <c r="E89" t="s">
        <v>15</v>
      </c>
      <c r="F89" t="s">
        <v>127</v>
      </c>
      <c r="G89" t="s">
        <v>13</v>
      </c>
      <c r="H89" t="s">
        <v>128</v>
      </c>
      <c r="I89">
        <v>35</v>
      </c>
      <c r="J89">
        <v>108</v>
      </c>
      <c r="K89">
        <v>115.792</v>
      </c>
      <c r="L89" t="s">
        <v>20</v>
      </c>
      <c r="M89" t="str">
        <f t="shared" si="1"/>
        <v>1999-Q1</v>
      </c>
      <c r="N89" s="5">
        <f>INDEX(Sheet1!$B$2:$GX$9, MATCH(auscathist!L89, Sheet1!$A$2:$A$9, 0), MATCH(auscathist!M89, Sheet1!$B$1:$GX$1, 0))</f>
        <v>1848303</v>
      </c>
    </row>
    <row r="90" spans="1:14">
      <c r="A90">
        <v>89</v>
      </c>
      <c r="B90">
        <v>1999</v>
      </c>
      <c r="C90">
        <v>1</v>
      </c>
      <c r="D90" s="1">
        <v>36239</v>
      </c>
      <c r="E90" t="s">
        <v>15</v>
      </c>
      <c r="F90" t="s">
        <v>30</v>
      </c>
      <c r="G90" t="s">
        <v>30</v>
      </c>
      <c r="H90" t="s">
        <v>129</v>
      </c>
      <c r="I90">
        <v>4</v>
      </c>
      <c r="J90">
        <v>12</v>
      </c>
      <c r="K90">
        <v>12.866</v>
      </c>
      <c r="L90" t="s">
        <v>20</v>
      </c>
      <c r="M90" t="str">
        <f t="shared" si="1"/>
        <v>1999-Q1</v>
      </c>
      <c r="N90" s="5">
        <f>INDEX(Sheet1!$B$2:$GX$9, MATCH(auscathist!L90, Sheet1!$A$2:$A$9, 0), MATCH(auscathist!M90, Sheet1!$B$1:$GX$1, 0))</f>
        <v>1848303</v>
      </c>
    </row>
    <row r="91" spans="1:14">
      <c r="A91">
        <v>90</v>
      </c>
      <c r="B91">
        <v>1999</v>
      </c>
      <c r="C91">
        <v>1</v>
      </c>
      <c r="D91" s="1">
        <v>36203</v>
      </c>
      <c r="E91" t="s">
        <v>15</v>
      </c>
      <c r="F91" t="s">
        <v>130</v>
      </c>
      <c r="G91" t="s">
        <v>13</v>
      </c>
      <c r="H91" t="s">
        <v>121</v>
      </c>
      <c r="I91">
        <v>4</v>
      </c>
      <c r="J91">
        <v>14</v>
      </c>
      <c r="K91">
        <v>15.01</v>
      </c>
      <c r="L91" t="s">
        <v>16</v>
      </c>
      <c r="M91" t="str">
        <f t="shared" si="1"/>
        <v>1999-Q1</v>
      </c>
      <c r="N91" s="5">
        <f>INDEX(Sheet1!$B$2:$GX$9, MATCH(auscathist!L91, Sheet1!$A$2:$A$9, 0), MATCH(auscathist!M91, Sheet1!$B$1:$GX$1, 0))</f>
        <v>3442196</v>
      </c>
    </row>
    <row r="92" spans="1:14">
      <c r="A92">
        <v>91</v>
      </c>
      <c r="B92">
        <v>1999</v>
      </c>
      <c r="C92">
        <v>1</v>
      </c>
      <c r="D92" s="1">
        <v>36198</v>
      </c>
      <c r="E92" t="s">
        <v>15</v>
      </c>
      <c r="F92" t="s">
        <v>62</v>
      </c>
      <c r="G92" t="s">
        <v>62</v>
      </c>
      <c r="H92" t="s">
        <v>90</v>
      </c>
      <c r="I92">
        <v>2</v>
      </c>
      <c r="J92">
        <v>7</v>
      </c>
      <c r="K92">
        <v>7.5049999999999999</v>
      </c>
      <c r="L92" t="s">
        <v>16</v>
      </c>
      <c r="M92" t="str">
        <f t="shared" si="1"/>
        <v>1999-Q1</v>
      </c>
      <c r="N92" s="5">
        <f>INDEX(Sheet1!$B$2:$GX$9, MATCH(auscathist!L92, Sheet1!$A$2:$A$9, 0), MATCH(auscathist!M92, Sheet1!$B$1:$GX$1, 0))</f>
        <v>3442196</v>
      </c>
    </row>
    <row r="93" spans="1:14">
      <c r="A93">
        <v>92</v>
      </c>
      <c r="B93">
        <v>1998</v>
      </c>
      <c r="C93">
        <v>4</v>
      </c>
      <c r="D93" s="1">
        <v>36155</v>
      </c>
      <c r="E93" t="s">
        <v>15</v>
      </c>
      <c r="F93" t="s">
        <v>62</v>
      </c>
      <c r="G93" t="s">
        <v>62</v>
      </c>
      <c r="H93" t="s">
        <v>35</v>
      </c>
      <c r="I93">
        <v>10</v>
      </c>
      <c r="J93">
        <v>25</v>
      </c>
      <c r="K93">
        <v>26.803999999999998</v>
      </c>
      <c r="L93" t="s">
        <v>32</v>
      </c>
      <c r="M93" t="str">
        <f t="shared" si="1"/>
        <v>1998-Q4</v>
      </c>
      <c r="N93" s="5">
        <f>INDEX(Sheet1!$B$2:$GX$9, MATCH(auscathist!L93, Sheet1!$A$2:$A$9, 0), MATCH(auscathist!M93, Sheet1!$B$1:$GX$1, 0))</f>
        <v>4629345</v>
      </c>
    </row>
    <row r="94" spans="1:14">
      <c r="A94">
        <v>93</v>
      </c>
      <c r="B94">
        <v>1998</v>
      </c>
      <c r="C94">
        <v>4</v>
      </c>
      <c r="D94" s="1">
        <v>36145</v>
      </c>
      <c r="E94" t="s">
        <v>15</v>
      </c>
      <c r="F94" t="s">
        <v>79</v>
      </c>
      <c r="G94" t="s">
        <v>68</v>
      </c>
      <c r="H94" t="s">
        <v>57</v>
      </c>
      <c r="I94">
        <v>76</v>
      </c>
      <c r="J94">
        <v>254</v>
      </c>
      <c r="K94">
        <v>272.32499999999999</v>
      </c>
      <c r="L94" t="s">
        <v>16</v>
      </c>
      <c r="M94" t="str">
        <f t="shared" si="1"/>
        <v>1998-Q4</v>
      </c>
      <c r="N94" s="5">
        <f>INDEX(Sheet1!$B$2:$GX$9, MATCH(auscathist!L94, Sheet1!$A$2:$A$9, 0), MATCH(auscathist!M94, Sheet1!$B$1:$GX$1, 0))</f>
        <v>3427505</v>
      </c>
    </row>
    <row r="95" spans="1:14">
      <c r="A95">
        <v>94</v>
      </c>
      <c r="B95">
        <v>1998</v>
      </c>
      <c r="C95">
        <v>4</v>
      </c>
      <c r="D95" s="1">
        <v>36113</v>
      </c>
      <c r="E95" t="s">
        <v>15</v>
      </c>
      <c r="F95" t="s">
        <v>24</v>
      </c>
      <c r="G95" t="s">
        <v>24</v>
      </c>
      <c r="H95" t="s">
        <v>57</v>
      </c>
      <c r="I95">
        <v>7</v>
      </c>
      <c r="J95">
        <v>23</v>
      </c>
      <c r="K95">
        <v>24.658999999999999</v>
      </c>
      <c r="L95" t="s">
        <v>16</v>
      </c>
      <c r="M95" t="str">
        <f t="shared" si="1"/>
        <v>1998-Q4</v>
      </c>
      <c r="N95" s="5">
        <f>INDEX(Sheet1!$B$2:$GX$9, MATCH(auscathist!L95, Sheet1!$A$2:$A$9, 0), MATCH(auscathist!M95, Sheet1!$B$1:$GX$1, 0))</f>
        <v>3427505</v>
      </c>
    </row>
    <row r="96" spans="1:14">
      <c r="A96">
        <v>95</v>
      </c>
      <c r="B96">
        <v>1998</v>
      </c>
      <c r="C96">
        <v>4</v>
      </c>
      <c r="D96" s="1">
        <v>36081</v>
      </c>
      <c r="E96" t="s">
        <v>15</v>
      </c>
      <c r="F96" t="s">
        <v>24</v>
      </c>
      <c r="G96" t="s">
        <v>24</v>
      </c>
      <c r="H96" t="s">
        <v>131</v>
      </c>
      <c r="I96">
        <v>23</v>
      </c>
      <c r="J96">
        <v>80</v>
      </c>
      <c r="K96">
        <v>85.772000000000006</v>
      </c>
      <c r="L96" t="s">
        <v>16</v>
      </c>
      <c r="M96" t="str">
        <f t="shared" si="1"/>
        <v>1998-Q4</v>
      </c>
      <c r="N96" s="5">
        <f>INDEX(Sheet1!$B$2:$GX$9, MATCH(auscathist!L96, Sheet1!$A$2:$A$9, 0), MATCH(auscathist!M96, Sheet1!$B$1:$GX$1, 0))</f>
        <v>3427505</v>
      </c>
    </row>
    <row r="97" spans="1:14">
      <c r="A97">
        <v>96</v>
      </c>
      <c r="B97">
        <v>1998</v>
      </c>
      <c r="C97">
        <v>3</v>
      </c>
      <c r="D97" s="1">
        <v>36024</v>
      </c>
      <c r="E97" t="s">
        <v>15</v>
      </c>
      <c r="F97" t="s">
        <v>62</v>
      </c>
      <c r="G97" t="s">
        <v>62</v>
      </c>
      <c r="H97" t="s">
        <v>126</v>
      </c>
      <c r="I97">
        <v>40</v>
      </c>
      <c r="J97">
        <v>97</v>
      </c>
      <c r="K97">
        <v>103.998</v>
      </c>
      <c r="L97" t="s">
        <v>22</v>
      </c>
      <c r="M97" t="str">
        <f t="shared" si="1"/>
        <v>1998-Q3</v>
      </c>
      <c r="N97" s="5">
        <f>INDEX(Sheet1!$B$2:$GX$9, MATCH(auscathist!L97, Sheet1!$A$2:$A$9, 0), MATCH(auscathist!M97, Sheet1!$B$1:$GX$1, 0))</f>
        <v>6324111</v>
      </c>
    </row>
    <row r="98" spans="1:14">
      <c r="A98">
        <v>97</v>
      </c>
      <c r="B98">
        <v>1998</v>
      </c>
      <c r="C98">
        <v>3</v>
      </c>
      <c r="D98" s="1">
        <v>36013</v>
      </c>
      <c r="E98" t="s">
        <v>15</v>
      </c>
      <c r="F98" t="s">
        <v>24</v>
      </c>
      <c r="G98" t="s">
        <v>24</v>
      </c>
      <c r="H98" t="s">
        <v>107</v>
      </c>
      <c r="I98">
        <v>10</v>
      </c>
      <c r="J98">
        <v>25</v>
      </c>
      <c r="K98">
        <v>26.803999999999998</v>
      </c>
      <c r="L98" t="s">
        <v>22</v>
      </c>
      <c r="M98" t="str">
        <f t="shared" si="1"/>
        <v>1998-Q3</v>
      </c>
      <c r="N98" s="5">
        <f>INDEX(Sheet1!$B$2:$GX$9, MATCH(auscathist!L98, Sheet1!$A$2:$A$9, 0), MATCH(auscathist!M98, Sheet1!$B$1:$GX$1, 0))</f>
        <v>6324111</v>
      </c>
    </row>
    <row r="99" spans="1:14">
      <c r="A99">
        <v>98</v>
      </c>
      <c r="B99">
        <v>1998</v>
      </c>
      <c r="C99">
        <v>2</v>
      </c>
      <c r="D99" s="1">
        <v>35970</v>
      </c>
      <c r="E99" t="s">
        <v>15</v>
      </c>
      <c r="F99" t="s">
        <v>30</v>
      </c>
      <c r="G99" t="s">
        <v>30</v>
      </c>
      <c r="H99" t="s">
        <v>132</v>
      </c>
      <c r="I99">
        <v>1.3</v>
      </c>
      <c r="J99">
        <v>3</v>
      </c>
      <c r="K99">
        <v>3.2160000000000002</v>
      </c>
      <c r="L99" t="s">
        <v>32</v>
      </c>
      <c r="M99" t="str">
        <f t="shared" si="1"/>
        <v>1998-Q2</v>
      </c>
      <c r="N99" s="5">
        <f>INDEX(Sheet1!$B$2:$GX$9, MATCH(auscathist!L99, Sheet1!$A$2:$A$9, 0), MATCH(auscathist!M99, Sheet1!$B$1:$GX$1, 0))</f>
        <v>4606970</v>
      </c>
    </row>
    <row r="100" spans="1:14">
      <c r="A100">
        <v>99</v>
      </c>
      <c r="B100">
        <v>1998</v>
      </c>
      <c r="C100">
        <v>2</v>
      </c>
      <c r="D100" s="1">
        <v>35969</v>
      </c>
      <c r="E100" t="s">
        <v>15</v>
      </c>
      <c r="F100" t="s">
        <v>24</v>
      </c>
      <c r="G100" t="s">
        <v>24</v>
      </c>
      <c r="H100" t="s">
        <v>86</v>
      </c>
      <c r="I100">
        <v>12</v>
      </c>
      <c r="J100">
        <v>39</v>
      </c>
      <c r="K100">
        <v>41.814</v>
      </c>
      <c r="L100" t="s">
        <v>22</v>
      </c>
      <c r="M100" t="str">
        <f t="shared" si="1"/>
        <v>1998-Q2</v>
      </c>
      <c r="N100" s="5">
        <f>INDEX(Sheet1!$B$2:$GX$9, MATCH(auscathist!L100, Sheet1!$A$2:$A$9, 0), MATCH(auscathist!M100, Sheet1!$B$1:$GX$1, 0))</f>
        <v>6305799</v>
      </c>
    </row>
    <row r="101" spans="1:14">
      <c r="A101">
        <v>100</v>
      </c>
      <c r="B101">
        <v>1998</v>
      </c>
      <c r="C101">
        <v>2</v>
      </c>
      <c r="D101" s="1">
        <v>35894</v>
      </c>
      <c r="E101" t="s">
        <v>15</v>
      </c>
      <c r="F101" t="s">
        <v>62</v>
      </c>
      <c r="G101" t="s">
        <v>62</v>
      </c>
      <c r="H101" t="s">
        <v>107</v>
      </c>
      <c r="I101">
        <v>10</v>
      </c>
      <c r="J101">
        <v>28</v>
      </c>
      <c r="K101">
        <v>30.02</v>
      </c>
      <c r="L101" t="s">
        <v>22</v>
      </c>
      <c r="M101" t="str">
        <f t="shared" si="1"/>
        <v>1998-Q2</v>
      </c>
      <c r="N101" s="5">
        <f>INDEX(Sheet1!$B$2:$GX$9, MATCH(auscathist!L101, Sheet1!$A$2:$A$9, 0), MATCH(auscathist!M101, Sheet1!$B$1:$GX$1, 0))</f>
        <v>6305799</v>
      </c>
    </row>
    <row r="102" spans="1:14">
      <c r="A102">
        <v>101</v>
      </c>
      <c r="B102">
        <v>1998</v>
      </c>
      <c r="C102">
        <v>1</v>
      </c>
      <c r="D102" s="1">
        <v>35830</v>
      </c>
      <c r="E102" t="s">
        <v>15</v>
      </c>
      <c r="F102" t="s">
        <v>24</v>
      </c>
      <c r="G102" t="s">
        <v>24</v>
      </c>
      <c r="H102" t="s">
        <v>107</v>
      </c>
      <c r="I102">
        <v>12</v>
      </c>
      <c r="J102">
        <v>34</v>
      </c>
      <c r="K102">
        <v>36.453000000000003</v>
      </c>
      <c r="L102" t="s">
        <v>22</v>
      </c>
      <c r="M102" t="str">
        <f t="shared" si="1"/>
        <v>1998-Q1</v>
      </c>
      <c r="N102" s="5">
        <f>INDEX(Sheet1!$B$2:$GX$9, MATCH(auscathist!L102, Sheet1!$A$2:$A$9, 0), MATCH(auscathist!M102, Sheet1!$B$1:$GX$1, 0))</f>
        <v>6295260</v>
      </c>
    </row>
    <row r="103" spans="1:14">
      <c r="A103">
        <v>102</v>
      </c>
      <c r="B103">
        <v>1998</v>
      </c>
      <c r="C103">
        <v>1</v>
      </c>
      <c r="D103" s="1">
        <v>35821</v>
      </c>
      <c r="E103" t="s">
        <v>15</v>
      </c>
      <c r="F103" t="s">
        <v>30</v>
      </c>
      <c r="G103" t="s">
        <v>30</v>
      </c>
      <c r="H103" t="s">
        <v>133</v>
      </c>
      <c r="I103">
        <v>70</v>
      </c>
      <c r="J103">
        <v>201</v>
      </c>
      <c r="K103">
        <v>215.501</v>
      </c>
      <c r="L103" t="s">
        <v>134</v>
      </c>
      <c r="M103" t="str">
        <f t="shared" si="1"/>
        <v>1998-Q1</v>
      </c>
      <c r="N103" s="5">
        <f>INDEX(Sheet1!$B$2:$GX$9, MATCH(auscathist!L103, Sheet1!$A$2:$A$9, 0), MATCH(auscathist!M103, Sheet1!$B$1:$GX$1, 0))</f>
        <v>192061</v>
      </c>
    </row>
    <row r="104" spans="1:14">
      <c r="A104">
        <v>103</v>
      </c>
      <c r="B104">
        <v>1998</v>
      </c>
      <c r="C104">
        <v>1</v>
      </c>
      <c r="D104" s="1">
        <v>35805</v>
      </c>
      <c r="E104" t="s">
        <v>15</v>
      </c>
      <c r="F104" t="s">
        <v>62</v>
      </c>
      <c r="G104" t="s">
        <v>62</v>
      </c>
      <c r="H104" t="s">
        <v>135</v>
      </c>
      <c r="I104">
        <v>71</v>
      </c>
      <c r="J104">
        <v>245</v>
      </c>
      <c r="K104">
        <v>262.67500000000001</v>
      </c>
      <c r="L104" t="s">
        <v>16</v>
      </c>
      <c r="M104" t="str">
        <f t="shared" si="1"/>
        <v>1998-Q1</v>
      </c>
      <c r="N104" s="5">
        <f>INDEX(Sheet1!$B$2:$GX$9, MATCH(auscathist!L104, Sheet1!$A$2:$A$9, 0), MATCH(auscathist!M104, Sheet1!$B$1:$GX$1, 0))</f>
        <v>3393483</v>
      </c>
    </row>
    <row r="105" spans="1:14">
      <c r="A105">
        <v>104</v>
      </c>
      <c r="B105">
        <v>1998</v>
      </c>
      <c r="C105">
        <v>1</v>
      </c>
      <c r="D105" s="1">
        <v>35800</v>
      </c>
      <c r="E105" t="s">
        <v>15</v>
      </c>
      <c r="F105" t="s">
        <v>24</v>
      </c>
      <c r="G105" t="s">
        <v>24</v>
      </c>
      <c r="H105" t="s">
        <v>136</v>
      </c>
      <c r="I105">
        <v>12</v>
      </c>
      <c r="J105">
        <v>27</v>
      </c>
      <c r="K105">
        <v>28.948</v>
      </c>
      <c r="L105" t="s">
        <v>22</v>
      </c>
      <c r="M105" t="str">
        <f t="shared" si="1"/>
        <v>1998-Q1</v>
      </c>
      <c r="N105" s="5">
        <f>INDEX(Sheet1!$B$2:$GX$9, MATCH(auscathist!L105, Sheet1!$A$2:$A$9, 0), MATCH(auscathist!M105, Sheet1!$B$1:$GX$1, 0))</f>
        <v>6295260</v>
      </c>
    </row>
    <row r="106" spans="1:14">
      <c r="A106">
        <v>105</v>
      </c>
      <c r="B106">
        <v>1997</v>
      </c>
      <c r="C106">
        <v>4</v>
      </c>
      <c r="D106" s="1">
        <v>35785</v>
      </c>
      <c r="E106" t="s">
        <v>15</v>
      </c>
      <c r="F106" t="s">
        <v>18</v>
      </c>
      <c r="G106" t="s">
        <v>18</v>
      </c>
      <c r="H106" t="s">
        <v>137</v>
      </c>
      <c r="I106">
        <v>3</v>
      </c>
      <c r="J106">
        <v>8</v>
      </c>
      <c r="K106">
        <v>8.577</v>
      </c>
      <c r="L106" t="s">
        <v>22</v>
      </c>
      <c r="M106" t="str">
        <f t="shared" si="1"/>
        <v>1997-Q4</v>
      </c>
      <c r="N106" s="5">
        <f>INDEX(Sheet1!$B$2:$GX$9, MATCH(auscathist!L106, Sheet1!$A$2:$A$9, 0), MATCH(auscathist!M106, Sheet1!$B$1:$GX$1, 0))</f>
        <v>6274966</v>
      </c>
    </row>
    <row r="107" spans="1:14">
      <c r="A107">
        <v>106</v>
      </c>
      <c r="B107">
        <v>1997</v>
      </c>
      <c r="C107">
        <v>4</v>
      </c>
      <c r="D107" s="1">
        <v>35783</v>
      </c>
      <c r="E107" t="s">
        <v>15</v>
      </c>
      <c r="F107" t="s">
        <v>24</v>
      </c>
      <c r="G107" t="s">
        <v>24</v>
      </c>
      <c r="H107" t="s">
        <v>107</v>
      </c>
      <c r="I107">
        <v>40</v>
      </c>
      <c r="J107">
        <v>113</v>
      </c>
      <c r="K107">
        <v>121.152</v>
      </c>
      <c r="L107" t="s">
        <v>22</v>
      </c>
      <c r="M107" t="str">
        <f t="shared" si="1"/>
        <v>1997-Q4</v>
      </c>
      <c r="N107" s="5">
        <f>INDEX(Sheet1!$B$2:$GX$9, MATCH(auscathist!L107, Sheet1!$A$2:$A$9, 0), MATCH(auscathist!M107, Sheet1!$B$1:$GX$1, 0))</f>
        <v>6274966</v>
      </c>
    </row>
    <row r="108" spans="1:14">
      <c r="A108">
        <v>107</v>
      </c>
      <c r="B108">
        <v>1997</v>
      </c>
      <c r="C108">
        <v>4</v>
      </c>
      <c r="D108" s="1">
        <v>35750</v>
      </c>
      <c r="E108" t="s">
        <v>15</v>
      </c>
      <c r="F108" t="s">
        <v>24</v>
      </c>
      <c r="G108" t="s">
        <v>24</v>
      </c>
      <c r="H108" t="s">
        <v>138</v>
      </c>
      <c r="I108">
        <v>5</v>
      </c>
      <c r="J108">
        <v>13</v>
      </c>
      <c r="K108">
        <v>13.938000000000001</v>
      </c>
      <c r="L108" t="s">
        <v>22</v>
      </c>
      <c r="M108" t="str">
        <f t="shared" si="1"/>
        <v>1997-Q4</v>
      </c>
      <c r="N108" s="5">
        <f>INDEX(Sheet1!$B$2:$GX$9, MATCH(auscathist!L108, Sheet1!$A$2:$A$9, 0), MATCH(auscathist!M108, Sheet1!$B$1:$GX$1, 0))</f>
        <v>6274966</v>
      </c>
    </row>
    <row r="109" spans="1:14">
      <c r="A109">
        <v>108</v>
      </c>
      <c r="B109">
        <v>1997</v>
      </c>
      <c r="C109">
        <v>1</v>
      </c>
      <c r="D109" s="1">
        <v>35520</v>
      </c>
      <c r="E109" t="s">
        <v>15</v>
      </c>
      <c r="F109" t="s">
        <v>79</v>
      </c>
      <c r="G109" t="s">
        <v>68</v>
      </c>
      <c r="H109" t="s">
        <v>139</v>
      </c>
      <c r="I109">
        <v>10</v>
      </c>
      <c r="J109">
        <v>41</v>
      </c>
      <c r="K109">
        <v>43.957999999999998</v>
      </c>
      <c r="L109" t="s">
        <v>22</v>
      </c>
      <c r="M109" t="str">
        <f t="shared" si="1"/>
        <v>1997-Q1</v>
      </c>
      <c r="N109" s="5">
        <f>INDEX(Sheet1!$B$2:$GX$9, MATCH(auscathist!L109, Sheet1!$A$2:$A$9, 0), MATCH(auscathist!M109, Sheet1!$B$1:$GX$1, 0))</f>
        <v>6234303</v>
      </c>
    </row>
    <row r="110" spans="1:14">
      <c r="A110">
        <v>109</v>
      </c>
      <c r="B110">
        <v>1997</v>
      </c>
      <c r="C110">
        <v>1</v>
      </c>
      <c r="D110" s="1">
        <v>35511</v>
      </c>
      <c r="E110" t="s">
        <v>15</v>
      </c>
      <c r="F110" t="s">
        <v>140</v>
      </c>
      <c r="G110" t="s">
        <v>13</v>
      </c>
      <c r="H110" t="s">
        <v>141</v>
      </c>
      <c r="I110">
        <v>8</v>
      </c>
      <c r="J110">
        <v>27</v>
      </c>
      <c r="K110">
        <v>28.948</v>
      </c>
      <c r="L110" t="s">
        <v>16</v>
      </c>
      <c r="M110" t="str">
        <f t="shared" si="1"/>
        <v>1997-Q1</v>
      </c>
      <c r="N110" s="5">
        <f>INDEX(Sheet1!$B$2:$GX$9, MATCH(auscathist!L110, Sheet1!$A$2:$A$9, 0), MATCH(auscathist!M110, Sheet1!$B$1:$GX$1, 0))</f>
        <v>3343777</v>
      </c>
    </row>
    <row r="111" spans="1:14">
      <c r="A111">
        <v>110</v>
      </c>
      <c r="B111">
        <v>1997</v>
      </c>
      <c r="C111">
        <v>1</v>
      </c>
      <c r="D111" s="1">
        <v>35482</v>
      </c>
      <c r="E111" t="s">
        <v>15</v>
      </c>
      <c r="F111" t="s">
        <v>18</v>
      </c>
      <c r="G111" t="s">
        <v>18</v>
      </c>
      <c r="H111" t="s">
        <v>142</v>
      </c>
      <c r="I111">
        <v>10</v>
      </c>
      <c r="J111">
        <v>29</v>
      </c>
      <c r="K111">
        <v>31.091999999999999</v>
      </c>
      <c r="L111" t="s">
        <v>32</v>
      </c>
      <c r="M111" t="str">
        <f t="shared" si="1"/>
        <v>1997-Q1</v>
      </c>
      <c r="N111" s="5">
        <f>INDEX(Sheet1!$B$2:$GX$9, MATCH(auscathist!L111, Sheet1!$A$2:$A$9, 0), MATCH(auscathist!M111, Sheet1!$B$1:$GX$1, 0))</f>
        <v>4565356</v>
      </c>
    </row>
    <row r="112" spans="1:14">
      <c r="A112">
        <v>111</v>
      </c>
      <c r="B112">
        <v>1996</v>
      </c>
      <c r="C112">
        <v>4</v>
      </c>
      <c r="D112" s="1">
        <v>35410</v>
      </c>
      <c r="E112" t="s">
        <v>15</v>
      </c>
      <c r="F112" t="s">
        <v>79</v>
      </c>
      <c r="G112" t="s">
        <v>68</v>
      </c>
      <c r="H112" t="s">
        <v>143</v>
      </c>
      <c r="I112">
        <v>49</v>
      </c>
      <c r="J112">
        <v>149</v>
      </c>
      <c r="K112">
        <v>159.749</v>
      </c>
      <c r="L112" t="s">
        <v>22</v>
      </c>
      <c r="M112" t="str">
        <f t="shared" si="1"/>
        <v>1996-Q4</v>
      </c>
      <c r="N112" s="5">
        <f>INDEX(Sheet1!$B$2:$GX$9, MATCH(auscathist!L112, Sheet1!$A$2:$A$9, 0), MATCH(auscathist!M112, Sheet1!$B$1:$GX$1, 0))</f>
        <v>6214548</v>
      </c>
    </row>
    <row r="113" spans="1:14">
      <c r="A113">
        <v>112</v>
      </c>
      <c r="B113">
        <v>1996</v>
      </c>
      <c r="C113">
        <v>4</v>
      </c>
      <c r="D113" s="1">
        <v>35403</v>
      </c>
      <c r="E113" t="s">
        <v>15</v>
      </c>
      <c r="F113" t="s">
        <v>24</v>
      </c>
      <c r="G113" t="s">
        <v>24</v>
      </c>
      <c r="H113" t="s">
        <v>57</v>
      </c>
      <c r="I113">
        <v>4</v>
      </c>
      <c r="J113">
        <v>4</v>
      </c>
      <c r="K113">
        <v>4.2889999999999997</v>
      </c>
      <c r="L113" t="s">
        <v>16</v>
      </c>
      <c r="M113" t="str">
        <f t="shared" si="1"/>
        <v>1996-Q4</v>
      </c>
      <c r="N113" s="5">
        <f>INDEX(Sheet1!$B$2:$GX$9, MATCH(auscathist!L113, Sheet1!$A$2:$A$9, 0), MATCH(auscathist!M113, Sheet1!$B$1:$GX$1, 0))</f>
        <v>3330579</v>
      </c>
    </row>
    <row r="114" spans="1:14">
      <c r="A114">
        <v>113</v>
      </c>
      <c r="B114">
        <v>1996</v>
      </c>
      <c r="C114">
        <v>4</v>
      </c>
      <c r="D114" s="1">
        <v>35392</v>
      </c>
      <c r="E114" t="s">
        <v>15</v>
      </c>
      <c r="F114" t="s">
        <v>24</v>
      </c>
      <c r="G114" t="s">
        <v>24</v>
      </c>
      <c r="H114" t="s">
        <v>144</v>
      </c>
      <c r="I114">
        <v>20</v>
      </c>
      <c r="J114">
        <v>67</v>
      </c>
      <c r="K114">
        <v>71.834000000000003</v>
      </c>
      <c r="L114" t="s">
        <v>22</v>
      </c>
      <c r="M114" t="str">
        <f t="shared" si="1"/>
        <v>1996-Q4</v>
      </c>
      <c r="N114" s="5">
        <f>INDEX(Sheet1!$B$2:$GX$9, MATCH(auscathist!L114, Sheet1!$A$2:$A$9, 0), MATCH(auscathist!M114, Sheet1!$B$1:$GX$1, 0))</f>
        <v>6214548</v>
      </c>
    </row>
    <row r="115" spans="1:14">
      <c r="A115">
        <v>114</v>
      </c>
      <c r="B115">
        <v>1996</v>
      </c>
      <c r="C115">
        <v>4</v>
      </c>
      <c r="D115" s="1">
        <v>35383</v>
      </c>
      <c r="E115" t="s">
        <v>15</v>
      </c>
      <c r="F115" t="s">
        <v>79</v>
      </c>
      <c r="G115" t="s">
        <v>68</v>
      </c>
      <c r="H115" t="s">
        <v>145</v>
      </c>
      <c r="I115">
        <v>10</v>
      </c>
      <c r="J115">
        <v>28</v>
      </c>
      <c r="K115">
        <v>30.02</v>
      </c>
      <c r="L115" t="s">
        <v>22</v>
      </c>
      <c r="M115" t="str">
        <f t="shared" si="1"/>
        <v>1996-Q4</v>
      </c>
      <c r="N115" s="5">
        <f>INDEX(Sheet1!$B$2:$GX$9, MATCH(auscathist!L115, Sheet1!$A$2:$A$9, 0), MATCH(auscathist!M115, Sheet1!$B$1:$GX$1, 0))</f>
        <v>6214548</v>
      </c>
    </row>
    <row r="116" spans="1:14">
      <c r="A116">
        <v>115</v>
      </c>
      <c r="B116">
        <v>1996</v>
      </c>
      <c r="C116">
        <v>3</v>
      </c>
      <c r="D116" s="1">
        <v>35337</v>
      </c>
      <c r="E116" t="s">
        <v>15</v>
      </c>
      <c r="F116" t="s">
        <v>79</v>
      </c>
      <c r="G116" t="s">
        <v>68</v>
      </c>
      <c r="H116" t="s">
        <v>146</v>
      </c>
      <c r="I116">
        <v>104</v>
      </c>
      <c r="J116">
        <v>288</v>
      </c>
      <c r="K116">
        <v>308.77800000000002</v>
      </c>
      <c r="L116" t="s">
        <v>22</v>
      </c>
      <c r="M116" t="str">
        <f t="shared" si="1"/>
        <v>1996-Q3</v>
      </c>
      <c r="N116" s="5">
        <f>INDEX(Sheet1!$B$2:$GX$9, MATCH(auscathist!L116, Sheet1!$A$2:$A$9, 0), MATCH(auscathist!M116, Sheet1!$B$1:$GX$1, 0))</f>
        <v>6196251</v>
      </c>
    </row>
    <row r="117" spans="1:14">
      <c r="A117">
        <v>116</v>
      </c>
      <c r="B117">
        <v>1996</v>
      </c>
      <c r="C117">
        <v>3</v>
      </c>
      <c r="D117" s="1">
        <v>35308</v>
      </c>
      <c r="E117" t="s">
        <v>15</v>
      </c>
      <c r="F117" t="s">
        <v>24</v>
      </c>
      <c r="G117" t="s">
        <v>24</v>
      </c>
      <c r="H117" t="s">
        <v>107</v>
      </c>
      <c r="I117">
        <v>10</v>
      </c>
      <c r="J117">
        <v>30</v>
      </c>
      <c r="K117">
        <v>32.164000000000001</v>
      </c>
      <c r="L117" t="s">
        <v>22</v>
      </c>
      <c r="M117" t="str">
        <f t="shared" si="1"/>
        <v>1996-Q3</v>
      </c>
      <c r="N117" s="5">
        <f>INDEX(Sheet1!$B$2:$GX$9, MATCH(auscathist!L117, Sheet1!$A$2:$A$9, 0), MATCH(auscathist!M117, Sheet1!$B$1:$GX$1, 0))</f>
        <v>6196251</v>
      </c>
    </row>
    <row r="118" spans="1:14">
      <c r="A118">
        <v>117</v>
      </c>
      <c r="B118">
        <v>1996</v>
      </c>
      <c r="C118">
        <v>2</v>
      </c>
      <c r="D118" s="1">
        <v>35188</v>
      </c>
      <c r="E118" t="s">
        <v>15</v>
      </c>
      <c r="F118" t="s">
        <v>30</v>
      </c>
      <c r="G118" t="s">
        <v>30</v>
      </c>
      <c r="H118" t="s">
        <v>90</v>
      </c>
      <c r="I118">
        <v>31</v>
      </c>
      <c r="J118">
        <v>134</v>
      </c>
      <c r="K118">
        <v>143.667</v>
      </c>
      <c r="L118" t="s">
        <v>16</v>
      </c>
      <c r="M118" t="str">
        <f t="shared" si="1"/>
        <v>1996-Q2</v>
      </c>
      <c r="N118" s="5">
        <f>INDEX(Sheet1!$B$2:$GX$9, MATCH(auscathist!L118, Sheet1!$A$2:$A$9, 0), MATCH(auscathist!M118, Sheet1!$B$1:$GX$1, 0))</f>
        <v>3303192</v>
      </c>
    </row>
    <row r="119" spans="1:14">
      <c r="A119">
        <v>118</v>
      </c>
      <c r="B119">
        <v>1996</v>
      </c>
      <c r="C119">
        <v>2</v>
      </c>
      <c r="D119" s="1">
        <v>35160</v>
      </c>
      <c r="E119" t="s">
        <v>15</v>
      </c>
      <c r="F119" t="s">
        <v>147</v>
      </c>
      <c r="G119" t="s">
        <v>13</v>
      </c>
      <c r="H119" t="s">
        <v>148</v>
      </c>
      <c r="I119">
        <v>2</v>
      </c>
      <c r="J119">
        <v>6</v>
      </c>
      <c r="K119">
        <v>6.4329999999999998</v>
      </c>
      <c r="L119" t="s">
        <v>20</v>
      </c>
      <c r="M119" t="str">
        <f t="shared" si="1"/>
        <v>1996-Q2</v>
      </c>
      <c r="N119" s="5">
        <f>INDEX(Sheet1!$B$2:$GX$9, MATCH(auscathist!L119, Sheet1!$A$2:$A$9, 0), MATCH(auscathist!M119, Sheet1!$B$1:$GX$1, 0))</f>
        <v>1768206</v>
      </c>
    </row>
    <row r="120" spans="1:14">
      <c r="A120">
        <v>119</v>
      </c>
      <c r="B120">
        <v>1996</v>
      </c>
      <c r="C120">
        <v>1</v>
      </c>
      <c r="D120" s="1">
        <v>35095</v>
      </c>
      <c r="E120" t="s">
        <v>15</v>
      </c>
      <c r="F120" t="s">
        <v>24</v>
      </c>
      <c r="G120" t="s">
        <v>24</v>
      </c>
      <c r="H120" t="s">
        <v>107</v>
      </c>
      <c r="I120">
        <v>14</v>
      </c>
      <c r="J120">
        <v>43</v>
      </c>
      <c r="K120">
        <v>46.101999999999997</v>
      </c>
      <c r="L120" t="s">
        <v>22</v>
      </c>
      <c r="M120" t="str">
        <f t="shared" si="1"/>
        <v>1996-Q1</v>
      </c>
      <c r="N120" s="5">
        <f>INDEX(Sheet1!$B$2:$GX$9, MATCH(auscathist!L120, Sheet1!$A$2:$A$9, 0), MATCH(auscathist!M120, Sheet1!$B$1:$GX$1, 0))</f>
        <v>6159806</v>
      </c>
    </row>
    <row r="121" spans="1:14">
      <c r="A121">
        <v>120</v>
      </c>
      <c r="B121">
        <v>1995</v>
      </c>
      <c r="C121">
        <v>4</v>
      </c>
      <c r="D121" s="1">
        <v>35009</v>
      </c>
      <c r="E121" t="s">
        <v>15</v>
      </c>
      <c r="F121" t="s">
        <v>79</v>
      </c>
      <c r="G121" t="s">
        <v>68</v>
      </c>
      <c r="H121" t="s">
        <v>90</v>
      </c>
      <c r="I121">
        <v>40</v>
      </c>
      <c r="J121">
        <v>166</v>
      </c>
      <c r="K121">
        <v>177.976</v>
      </c>
      <c r="L121" t="s">
        <v>16</v>
      </c>
      <c r="M121" t="str">
        <f t="shared" si="1"/>
        <v>1995-Q4</v>
      </c>
      <c r="N121" s="5">
        <f>INDEX(Sheet1!$B$2:$GX$9, MATCH(auscathist!L121, Sheet1!$A$2:$A$9, 0), MATCH(auscathist!M121, Sheet1!$B$1:$GX$1, 0))</f>
        <v>3271743</v>
      </c>
    </row>
    <row r="122" spans="1:14">
      <c r="A122">
        <v>121</v>
      </c>
      <c r="B122">
        <v>1995</v>
      </c>
      <c r="C122">
        <v>1</v>
      </c>
      <c r="D122" s="1">
        <v>34755</v>
      </c>
      <c r="E122" t="s">
        <v>15</v>
      </c>
      <c r="F122" t="s">
        <v>149</v>
      </c>
      <c r="G122" t="s">
        <v>13</v>
      </c>
      <c r="H122" t="s">
        <v>150</v>
      </c>
      <c r="I122">
        <v>11</v>
      </c>
      <c r="J122">
        <v>48</v>
      </c>
      <c r="K122">
        <v>51.463000000000001</v>
      </c>
      <c r="L122" t="s">
        <v>20</v>
      </c>
      <c r="M122" t="str">
        <f t="shared" si="1"/>
        <v>1995-Q1</v>
      </c>
      <c r="N122" s="5">
        <f>INDEX(Sheet1!$B$2:$GX$9, MATCH(auscathist!L122, Sheet1!$A$2:$A$9, 0), MATCH(auscathist!M122, Sheet1!$B$1:$GX$1, 0))</f>
        <v>1727907</v>
      </c>
    </row>
    <row r="123" spans="1:14">
      <c r="A123">
        <v>122</v>
      </c>
      <c r="B123">
        <v>1994</v>
      </c>
      <c r="C123">
        <v>4</v>
      </c>
      <c r="D123" s="1">
        <v>34658</v>
      </c>
      <c r="E123" t="s">
        <v>15</v>
      </c>
      <c r="F123" t="s">
        <v>24</v>
      </c>
      <c r="G123" t="s">
        <v>24</v>
      </c>
      <c r="H123" t="s">
        <v>107</v>
      </c>
      <c r="I123">
        <v>29</v>
      </c>
      <c r="J123">
        <v>100</v>
      </c>
      <c r="K123">
        <v>107.214</v>
      </c>
      <c r="L123" t="s">
        <v>22</v>
      </c>
      <c r="M123" t="str">
        <f t="shared" si="1"/>
        <v>1994-Q4</v>
      </c>
      <c r="N123" s="5">
        <f>INDEX(Sheet1!$B$2:$GX$9, MATCH(auscathist!L123, Sheet1!$A$2:$A$9, 0), MATCH(auscathist!M123, Sheet1!$B$1:$GX$1, 0))</f>
        <v>6071872</v>
      </c>
    </row>
    <row r="124" spans="1:14">
      <c r="A124">
        <v>123</v>
      </c>
      <c r="B124">
        <v>1994</v>
      </c>
      <c r="C124">
        <v>3</v>
      </c>
      <c r="D124" s="1">
        <v>34552</v>
      </c>
      <c r="E124" t="s">
        <v>15</v>
      </c>
      <c r="F124" t="s">
        <v>151</v>
      </c>
      <c r="G124" t="s">
        <v>151</v>
      </c>
      <c r="H124" t="s">
        <v>152</v>
      </c>
      <c r="I124">
        <v>37.200000000000003</v>
      </c>
      <c r="J124">
        <v>115</v>
      </c>
      <c r="K124">
        <v>123.297</v>
      </c>
      <c r="L124" t="s">
        <v>22</v>
      </c>
      <c r="M124" t="str">
        <f t="shared" si="1"/>
        <v>1994-Q3</v>
      </c>
      <c r="N124" s="5">
        <f>INDEX(Sheet1!$B$2:$GX$9, MATCH(auscathist!L124, Sheet1!$A$2:$A$9, 0), MATCH(auscathist!M124, Sheet1!$B$1:$GX$1, 0))</f>
        <v>6063058</v>
      </c>
    </row>
    <row r="125" spans="1:14">
      <c r="A125">
        <v>124</v>
      </c>
      <c r="B125">
        <v>1994</v>
      </c>
      <c r="C125">
        <v>2</v>
      </c>
      <c r="D125" s="1">
        <v>34477</v>
      </c>
      <c r="E125" t="s">
        <v>15</v>
      </c>
      <c r="F125" t="s">
        <v>24</v>
      </c>
      <c r="G125" t="s">
        <v>24</v>
      </c>
      <c r="H125" t="s">
        <v>19</v>
      </c>
      <c r="I125">
        <v>37</v>
      </c>
      <c r="J125">
        <v>187</v>
      </c>
      <c r="K125">
        <v>200.49100000000001</v>
      </c>
      <c r="L125" t="s">
        <v>20</v>
      </c>
      <c r="M125" t="str">
        <f t="shared" si="1"/>
        <v>1994-Q2</v>
      </c>
      <c r="N125" s="5">
        <f>INDEX(Sheet1!$B$2:$GX$9, MATCH(auscathist!L125, Sheet1!$A$2:$A$9, 0), MATCH(auscathist!M125, Sheet1!$B$1:$GX$1, 0))</f>
        <v>1704649</v>
      </c>
    </row>
    <row r="126" spans="1:14">
      <c r="A126">
        <v>125</v>
      </c>
      <c r="B126">
        <v>1994</v>
      </c>
      <c r="C126">
        <v>1</v>
      </c>
      <c r="D126" s="1">
        <v>34350</v>
      </c>
      <c r="E126" t="s">
        <v>15</v>
      </c>
      <c r="F126" t="s">
        <v>18</v>
      </c>
      <c r="G126" t="s">
        <v>18</v>
      </c>
      <c r="H126" t="s">
        <v>94</v>
      </c>
      <c r="I126">
        <v>59.1</v>
      </c>
      <c r="J126">
        <v>215</v>
      </c>
      <c r="K126">
        <v>230.511</v>
      </c>
      <c r="L126" t="s">
        <v>22</v>
      </c>
      <c r="M126" t="str">
        <f t="shared" si="1"/>
        <v>1994-Q1</v>
      </c>
      <c r="N126" s="5">
        <f>INDEX(Sheet1!$B$2:$GX$9, MATCH(auscathist!L126, Sheet1!$A$2:$A$9, 0), MATCH(auscathist!M126, Sheet1!$B$1:$GX$1, 0))</f>
        <v>6037096</v>
      </c>
    </row>
    <row r="127" spans="1:14">
      <c r="A127">
        <v>126</v>
      </c>
      <c r="B127">
        <v>1993</v>
      </c>
      <c r="C127">
        <v>4</v>
      </c>
      <c r="D127" s="1">
        <v>34317</v>
      </c>
      <c r="E127" t="s">
        <v>15</v>
      </c>
      <c r="F127" t="s">
        <v>24</v>
      </c>
      <c r="G127" t="s">
        <v>24</v>
      </c>
      <c r="H127" t="s">
        <v>35</v>
      </c>
      <c r="I127">
        <v>12</v>
      </c>
      <c r="J127">
        <v>44</v>
      </c>
      <c r="K127">
        <v>47.173999999999999</v>
      </c>
      <c r="L127" t="s">
        <v>32</v>
      </c>
      <c r="M127" t="str">
        <f t="shared" si="1"/>
        <v>1993-Q4</v>
      </c>
      <c r="N127" s="5">
        <f>INDEX(Sheet1!$B$2:$GX$9, MATCH(auscathist!L127, Sheet1!$A$2:$A$9, 0), MATCH(auscathist!M127, Sheet1!$B$1:$GX$1, 0))</f>
        <v>4466738</v>
      </c>
    </row>
    <row r="128" spans="1:14">
      <c r="A128">
        <v>127</v>
      </c>
      <c r="B128">
        <v>1993</v>
      </c>
      <c r="C128">
        <v>4</v>
      </c>
      <c r="D128" s="1">
        <v>34245</v>
      </c>
      <c r="E128" t="s">
        <v>15</v>
      </c>
      <c r="F128" t="s">
        <v>30</v>
      </c>
      <c r="G128" t="s">
        <v>30</v>
      </c>
      <c r="H128" t="s">
        <v>153</v>
      </c>
      <c r="I128">
        <v>12</v>
      </c>
      <c r="J128">
        <v>44</v>
      </c>
      <c r="K128">
        <v>47.173999999999999</v>
      </c>
      <c r="L128" t="s">
        <v>32</v>
      </c>
      <c r="M128" t="str">
        <f t="shared" si="1"/>
        <v>1993-Q4</v>
      </c>
      <c r="N128" s="5">
        <f>INDEX(Sheet1!$B$2:$GX$9, MATCH(auscathist!L128, Sheet1!$A$2:$A$9, 0), MATCH(auscathist!M128, Sheet1!$B$1:$GX$1, 0))</f>
        <v>4466738</v>
      </c>
    </row>
    <row r="129" spans="1:14">
      <c r="A129">
        <v>128</v>
      </c>
      <c r="B129">
        <v>1992</v>
      </c>
      <c r="C129">
        <v>1</v>
      </c>
      <c r="D129" s="1">
        <v>33646</v>
      </c>
      <c r="E129" t="s">
        <v>15</v>
      </c>
      <c r="F129" t="s">
        <v>79</v>
      </c>
      <c r="G129" t="s">
        <v>68</v>
      </c>
      <c r="H129" t="s">
        <v>107</v>
      </c>
      <c r="I129">
        <v>118</v>
      </c>
      <c r="J129">
        <v>441</v>
      </c>
      <c r="K129">
        <v>472.81599999999997</v>
      </c>
      <c r="L129" t="s">
        <v>22</v>
      </c>
      <c r="M129" t="str">
        <f t="shared" si="1"/>
        <v>1992-Q1</v>
      </c>
      <c r="N129" s="5">
        <f>INDEX(Sheet1!$B$2:$GX$9, MATCH(auscathist!L129, Sheet1!$A$2:$A$9, 0), MATCH(auscathist!M129, Sheet1!$B$1:$GX$1, 0))</f>
        <v>5946386</v>
      </c>
    </row>
    <row r="130" spans="1:14">
      <c r="A130">
        <v>129</v>
      </c>
      <c r="B130">
        <v>1992</v>
      </c>
      <c r="C130">
        <v>1</v>
      </c>
      <c r="D130" s="1">
        <v>33642</v>
      </c>
      <c r="E130" t="s">
        <v>15</v>
      </c>
      <c r="F130" t="s">
        <v>62</v>
      </c>
      <c r="G130" t="s">
        <v>62</v>
      </c>
      <c r="H130" t="s">
        <v>19</v>
      </c>
      <c r="I130">
        <v>4</v>
      </c>
      <c r="J130">
        <v>22</v>
      </c>
      <c r="K130">
        <v>23.587</v>
      </c>
      <c r="L130" t="s">
        <v>20</v>
      </c>
      <c r="M130" t="str">
        <f t="shared" si="1"/>
        <v>1992-Q1</v>
      </c>
      <c r="N130" s="5">
        <f>INDEX(Sheet1!$B$2:$GX$9, MATCH(auscathist!L130, Sheet1!$A$2:$A$9, 0), MATCH(auscathist!M130, Sheet1!$B$1:$GX$1, 0))</f>
        <v>1654244</v>
      </c>
    </row>
    <row r="131" spans="1:14">
      <c r="A131">
        <v>130</v>
      </c>
      <c r="B131">
        <v>1991</v>
      </c>
      <c r="C131">
        <v>4</v>
      </c>
      <c r="D131" s="1">
        <v>33592</v>
      </c>
      <c r="E131" t="s">
        <v>15</v>
      </c>
      <c r="F131" t="s">
        <v>30</v>
      </c>
      <c r="G131" t="s">
        <v>30</v>
      </c>
      <c r="H131" t="s">
        <v>154</v>
      </c>
      <c r="I131">
        <v>24</v>
      </c>
      <c r="J131">
        <v>90</v>
      </c>
      <c r="K131">
        <v>96.492999999999995</v>
      </c>
      <c r="L131" t="s">
        <v>32</v>
      </c>
      <c r="M131" t="str">
        <f t="shared" ref="M131:M194" si="2">B131&amp;"-Q"&amp;C131</f>
        <v>1991-Q4</v>
      </c>
      <c r="N131" s="5">
        <f>INDEX(Sheet1!$B$2:$GX$9, MATCH(auscathist!L131, Sheet1!$A$2:$A$9, 0), MATCH(auscathist!M131, Sheet1!$B$1:$GX$1, 0))</f>
        <v>4435083</v>
      </c>
    </row>
    <row r="132" spans="1:14">
      <c r="A132">
        <v>131</v>
      </c>
      <c r="B132">
        <v>1991</v>
      </c>
      <c r="C132">
        <v>4</v>
      </c>
      <c r="D132" s="1">
        <v>33527</v>
      </c>
      <c r="E132" t="s">
        <v>15</v>
      </c>
      <c r="F132" t="s">
        <v>18</v>
      </c>
      <c r="G132" t="s">
        <v>18</v>
      </c>
      <c r="H132" t="s">
        <v>155</v>
      </c>
      <c r="I132">
        <v>12</v>
      </c>
      <c r="J132">
        <v>54</v>
      </c>
      <c r="K132">
        <v>57.896000000000001</v>
      </c>
      <c r="L132" t="s">
        <v>22</v>
      </c>
      <c r="M132" t="str">
        <f t="shared" si="2"/>
        <v>1991-Q4</v>
      </c>
      <c r="N132" s="5">
        <f>INDEX(Sheet1!$B$2:$GX$9, MATCH(auscathist!L132, Sheet1!$A$2:$A$9, 0), MATCH(auscathist!M132, Sheet1!$B$1:$GX$1, 0))</f>
        <v>5928072</v>
      </c>
    </row>
    <row r="133" spans="1:14">
      <c r="A133">
        <v>132</v>
      </c>
      <c r="B133">
        <v>1991</v>
      </c>
      <c r="C133">
        <v>2</v>
      </c>
      <c r="D133" s="1">
        <v>33396</v>
      </c>
      <c r="E133" t="s">
        <v>15</v>
      </c>
      <c r="F133" t="s">
        <v>62</v>
      </c>
      <c r="G133" t="s">
        <v>62</v>
      </c>
      <c r="H133" t="s">
        <v>156</v>
      </c>
      <c r="I133">
        <v>15</v>
      </c>
      <c r="J133">
        <v>57</v>
      </c>
      <c r="K133">
        <v>61.112000000000002</v>
      </c>
      <c r="L133" t="s">
        <v>22</v>
      </c>
      <c r="M133" t="str">
        <f t="shared" si="2"/>
        <v>1991-Q2</v>
      </c>
      <c r="N133" s="5">
        <f>INDEX(Sheet1!$B$2:$GX$9, MATCH(auscathist!L133, Sheet1!$A$2:$A$9, 0), MATCH(auscathist!M133, Sheet1!$B$1:$GX$1, 0))</f>
        <v>5898731</v>
      </c>
    </row>
    <row r="134" spans="1:14">
      <c r="A134">
        <v>133</v>
      </c>
      <c r="B134">
        <v>1991</v>
      </c>
      <c r="C134">
        <v>1</v>
      </c>
      <c r="D134" s="1">
        <v>33262</v>
      </c>
      <c r="E134" t="s">
        <v>15</v>
      </c>
      <c r="F134" t="s">
        <v>79</v>
      </c>
      <c r="G134" t="s">
        <v>68</v>
      </c>
      <c r="H134" t="s">
        <v>157</v>
      </c>
      <c r="I134">
        <v>12</v>
      </c>
      <c r="J134">
        <v>32</v>
      </c>
      <c r="K134">
        <v>34.308999999999997</v>
      </c>
      <c r="L134" t="s">
        <v>32</v>
      </c>
      <c r="M134" t="str">
        <f t="shared" si="2"/>
        <v>1991-Q1</v>
      </c>
      <c r="N134" s="5">
        <f>INDEX(Sheet1!$B$2:$GX$9, MATCH(auscathist!L134, Sheet1!$A$2:$A$9, 0), MATCH(auscathist!M134, Sheet1!$B$1:$GX$1, 0))</f>
        <v>4413410</v>
      </c>
    </row>
    <row r="135" spans="1:14">
      <c r="A135">
        <v>134</v>
      </c>
      <c r="B135">
        <v>1991</v>
      </c>
      <c r="C135">
        <v>1</v>
      </c>
      <c r="D135" s="1">
        <v>33260</v>
      </c>
      <c r="E135" t="s">
        <v>15</v>
      </c>
      <c r="F135" t="s">
        <v>79</v>
      </c>
      <c r="G135" t="s">
        <v>68</v>
      </c>
      <c r="H135" t="s">
        <v>158</v>
      </c>
      <c r="I135">
        <v>30</v>
      </c>
      <c r="J135">
        <v>112</v>
      </c>
      <c r="K135">
        <v>120.08</v>
      </c>
      <c r="L135" t="s">
        <v>96</v>
      </c>
      <c r="M135" t="str">
        <f t="shared" si="2"/>
        <v>1991-Q1</v>
      </c>
      <c r="N135" s="5">
        <f>INDEX(Sheet1!$B$2:$GX$9, MATCH(auscathist!L135, Sheet1!$A$2:$A$9, 0), MATCH(auscathist!M135, Sheet1!$B$1:$GX$1, 0))</f>
        <v>1443371</v>
      </c>
    </row>
    <row r="136" spans="1:14">
      <c r="A136">
        <v>135</v>
      </c>
      <c r="B136">
        <v>1991</v>
      </c>
      <c r="C136">
        <v>1</v>
      </c>
      <c r="D136" s="1">
        <v>33259</v>
      </c>
      <c r="E136" t="s">
        <v>15</v>
      </c>
      <c r="F136" t="s">
        <v>24</v>
      </c>
      <c r="G136" t="s">
        <v>24</v>
      </c>
      <c r="H136" t="s">
        <v>107</v>
      </c>
      <c r="I136">
        <v>138.4</v>
      </c>
      <c r="J136">
        <v>525</v>
      </c>
      <c r="K136">
        <v>562.87599999999998</v>
      </c>
      <c r="L136" t="s">
        <v>22</v>
      </c>
      <c r="M136" t="str">
        <f t="shared" si="2"/>
        <v>1991-Q1</v>
      </c>
      <c r="N136" s="5">
        <f>INDEX(Sheet1!$B$2:$GX$9, MATCH(auscathist!L136, Sheet1!$A$2:$A$9, 0), MATCH(auscathist!M136, Sheet1!$B$1:$GX$1, 0))</f>
        <v>5883248</v>
      </c>
    </row>
    <row r="137" spans="1:14">
      <c r="A137">
        <v>136</v>
      </c>
      <c r="B137">
        <v>1990</v>
      </c>
      <c r="C137">
        <v>4</v>
      </c>
      <c r="D137" s="1">
        <v>33234</v>
      </c>
      <c r="E137" t="s">
        <v>15</v>
      </c>
      <c r="F137" t="s">
        <v>18</v>
      </c>
      <c r="G137" t="s">
        <v>18</v>
      </c>
      <c r="I137">
        <v>10</v>
      </c>
      <c r="J137">
        <v>32</v>
      </c>
      <c r="K137">
        <v>34.308999999999997</v>
      </c>
      <c r="L137" t="s">
        <v>32</v>
      </c>
      <c r="M137" t="str">
        <f t="shared" si="2"/>
        <v>1990-Q4</v>
      </c>
      <c r="N137" s="5">
        <f>INDEX(Sheet1!$B$2:$GX$9, MATCH(auscathist!L137, Sheet1!$A$2:$A$9, 0), MATCH(auscathist!M137, Sheet1!$B$1:$GX$1, 0))</f>
        <v>4400707</v>
      </c>
    </row>
    <row r="138" spans="1:14">
      <c r="A138">
        <v>137</v>
      </c>
      <c r="B138">
        <v>1990</v>
      </c>
      <c r="C138">
        <v>4</v>
      </c>
      <c r="D138" s="1">
        <v>33233</v>
      </c>
      <c r="E138" t="s">
        <v>15</v>
      </c>
      <c r="F138" t="s">
        <v>62</v>
      </c>
      <c r="G138" t="s">
        <v>62</v>
      </c>
      <c r="H138" t="s">
        <v>159</v>
      </c>
      <c r="I138">
        <v>32</v>
      </c>
      <c r="J138">
        <v>121</v>
      </c>
      <c r="K138">
        <v>129.72900000000001</v>
      </c>
      <c r="L138" t="s">
        <v>16</v>
      </c>
      <c r="M138" t="str">
        <f t="shared" si="2"/>
        <v>1990-Q4</v>
      </c>
      <c r="N138" s="5">
        <f>INDEX(Sheet1!$B$2:$GX$9, MATCH(auscathist!L138, Sheet1!$A$2:$A$9, 0), MATCH(auscathist!M138, Sheet1!$B$1:$GX$1, 0))</f>
        <v>2928713</v>
      </c>
    </row>
    <row r="139" spans="1:14">
      <c r="A139">
        <v>138</v>
      </c>
      <c r="B139">
        <v>1990</v>
      </c>
      <c r="C139">
        <v>3</v>
      </c>
      <c r="D139" s="1">
        <v>33088</v>
      </c>
      <c r="E139" t="s">
        <v>15</v>
      </c>
      <c r="F139" t="s">
        <v>24</v>
      </c>
      <c r="G139" t="s">
        <v>24</v>
      </c>
      <c r="H139" t="s">
        <v>107</v>
      </c>
      <c r="I139">
        <v>12</v>
      </c>
      <c r="J139">
        <v>46</v>
      </c>
      <c r="K139">
        <v>49.319000000000003</v>
      </c>
      <c r="L139" t="s">
        <v>22</v>
      </c>
      <c r="M139" t="str">
        <f t="shared" si="2"/>
        <v>1990-Q3</v>
      </c>
      <c r="N139" s="5">
        <f>INDEX(Sheet1!$B$2:$GX$9, MATCH(auscathist!L139, Sheet1!$A$2:$A$9, 0), MATCH(auscathist!M139, Sheet1!$B$1:$GX$1, 0))</f>
        <v>5849534</v>
      </c>
    </row>
    <row r="140" spans="1:14">
      <c r="A140">
        <v>139</v>
      </c>
      <c r="B140">
        <v>1990</v>
      </c>
      <c r="C140">
        <v>2</v>
      </c>
      <c r="D140" s="1">
        <v>32981</v>
      </c>
      <c r="E140" t="s">
        <v>15</v>
      </c>
      <c r="F140" t="s">
        <v>30</v>
      </c>
      <c r="G140" t="s">
        <v>30</v>
      </c>
      <c r="H140" t="s">
        <v>160</v>
      </c>
      <c r="I140">
        <v>30</v>
      </c>
      <c r="J140">
        <v>99</v>
      </c>
      <c r="K140">
        <v>106.142</v>
      </c>
      <c r="L140" t="s">
        <v>22</v>
      </c>
      <c r="M140" t="str">
        <f t="shared" si="2"/>
        <v>1990-Q2</v>
      </c>
      <c r="N140" s="5">
        <f>INDEX(Sheet1!$B$2:$GX$9, MATCH(auscathist!L140, Sheet1!$A$2:$A$9, 0), MATCH(auscathist!M140, Sheet1!$B$1:$GX$1, 0))</f>
        <v>5834021</v>
      </c>
    </row>
    <row r="141" spans="1:14">
      <c r="A141">
        <v>140</v>
      </c>
      <c r="B141">
        <v>1990</v>
      </c>
      <c r="C141">
        <v>1</v>
      </c>
      <c r="D141" s="1">
        <v>32950</v>
      </c>
      <c r="E141" t="s">
        <v>15</v>
      </c>
      <c r="F141" t="s">
        <v>79</v>
      </c>
      <c r="G141" t="s">
        <v>68</v>
      </c>
      <c r="H141" t="s">
        <v>107</v>
      </c>
      <c r="I141">
        <v>319</v>
      </c>
      <c r="J141">
        <v>1297</v>
      </c>
      <c r="K141">
        <v>1390.5709999999999</v>
      </c>
      <c r="L141" t="s">
        <v>22</v>
      </c>
      <c r="M141" t="str">
        <f t="shared" si="2"/>
        <v>1990-Q1</v>
      </c>
      <c r="N141" s="5">
        <f>INDEX(Sheet1!$B$2:$GX$9, MATCH(auscathist!L141, Sheet1!$A$2:$A$9, 0), MATCH(auscathist!M141, Sheet1!$B$1:$GX$1, 0))</f>
        <v>5818151</v>
      </c>
    </row>
    <row r="142" spans="1:14">
      <c r="A142">
        <v>141</v>
      </c>
      <c r="B142">
        <v>1990</v>
      </c>
      <c r="C142">
        <v>1</v>
      </c>
      <c r="D142" s="1">
        <v>32914</v>
      </c>
      <c r="E142" t="s">
        <v>15</v>
      </c>
      <c r="F142" t="s">
        <v>79</v>
      </c>
      <c r="G142" t="s">
        <v>68</v>
      </c>
      <c r="H142" t="s">
        <v>107</v>
      </c>
      <c r="I142">
        <v>10</v>
      </c>
      <c r="J142">
        <v>41</v>
      </c>
      <c r="K142">
        <v>43.957999999999998</v>
      </c>
      <c r="L142" t="s">
        <v>22</v>
      </c>
      <c r="M142" t="str">
        <f t="shared" si="2"/>
        <v>1990-Q1</v>
      </c>
      <c r="N142" s="5">
        <f>INDEX(Sheet1!$B$2:$GX$9, MATCH(auscathist!L142, Sheet1!$A$2:$A$9, 0), MATCH(auscathist!M142, Sheet1!$B$1:$GX$1, 0))</f>
        <v>5818151</v>
      </c>
    </row>
    <row r="143" spans="1:14">
      <c r="A143">
        <v>142</v>
      </c>
      <c r="B143">
        <v>1990</v>
      </c>
      <c r="C143">
        <v>1</v>
      </c>
      <c r="D143" s="1">
        <v>32911</v>
      </c>
      <c r="E143" t="s">
        <v>15</v>
      </c>
      <c r="F143" t="s">
        <v>79</v>
      </c>
      <c r="G143" t="s">
        <v>68</v>
      </c>
      <c r="H143" t="s">
        <v>116</v>
      </c>
      <c r="I143">
        <v>9</v>
      </c>
      <c r="J143">
        <v>35</v>
      </c>
      <c r="K143">
        <v>37.524999999999999</v>
      </c>
      <c r="L143" t="s">
        <v>22</v>
      </c>
      <c r="M143" t="str">
        <f t="shared" si="2"/>
        <v>1990-Q1</v>
      </c>
      <c r="N143" s="5">
        <f>INDEX(Sheet1!$B$2:$GX$9, MATCH(auscathist!L143, Sheet1!$A$2:$A$9, 0), MATCH(auscathist!M143, Sheet1!$B$1:$GX$1, 0))</f>
        <v>5818151</v>
      </c>
    </row>
    <row r="144" spans="1:14">
      <c r="A144">
        <v>143</v>
      </c>
      <c r="B144">
        <v>1990</v>
      </c>
      <c r="C144">
        <v>1</v>
      </c>
      <c r="D144" s="1">
        <v>32907</v>
      </c>
      <c r="E144" t="s">
        <v>15</v>
      </c>
      <c r="F144" t="s">
        <v>161</v>
      </c>
      <c r="G144" t="s">
        <v>13</v>
      </c>
      <c r="H144" t="s">
        <v>162</v>
      </c>
      <c r="I144">
        <v>33</v>
      </c>
      <c r="J144">
        <v>197</v>
      </c>
      <c r="K144">
        <v>211.21199999999999</v>
      </c>
      <c r="L144" t="s">
        <v>22</v>
      </c>
      <c r="M144" t="str">
        <f t="shared" si="2"/>
        <v>1990-Q1</v>
      </c>
      <c r="N144" s="5">
        <f>INDEX(Sheet1!$B$2:$GX$9, MATCH(auscathist!L144, Sheet1!$A$2:$A$9, 0), MATCH(auscathist!M144, Sheet1!$B$1:$GX$1, 0))</f>
        <v>5818151</v>
      </c>
    </row>
    <row r="145" spans="1:14">
      <c r="A145">
        <v>144</v>
      </c>
      <c r="B145">
        <v>1989</v>
      </c>
      <c r="C145">
        <v>4</v>
      </c>
      <c r="D145" s="1">
        <v>32870</v>
      </c>
      <c r="E145" t="s">
        <v>15</v>
      </c>
      <c r="F145" t="s">
        <v>151</v>
      </c>
      <c r="G145" t="s">
        <v>151</v>
      </c>
      <c r="H145" t="s">
        <v>163</v>
      </c>
      <c r="I145">
        <v>862</v>
      </c>
      <c r="J145">
        <v>3240</v>
      </c>
      <c r="K145">
        <v>3473.7469999999998</v>
      </c>
      <c r="L145" t="s">
        <v>22</v>
      </c>
      <c r="M145" t="str">
        <f t="shared" si="2"/>
        <v>1989-Q4</v>
      </c>
      <c r="N145" s="5">
        <f>INDEX(Sheet1!$B$2:$GX$9, MATCH(auscathist!L145, Sheet1!$A$2:$A$9, 0), MATCH(auscathist!M145, Sheet1!$B$1:$GX$1, 0))</f>
        <v>5803079</v>
      </c>
    </row>
    <row r="146" spans="1:14">
      <c r="A146">
        <v>145</v>
      </c>
      <c r="B146">
        <v>1989</v>
      </c>
      <c r="C146">
        <v>4</v>
      </c>
      <c r="D146" s="1">
        <v>32828</v>
      </c>
      <c r="E146" t="s">
        <v>15</v>
      </c>
      <c r="F146" t="s">
        <v>79</v>
      </c>
      <c r="G146" t="s">
        <v>68</v>
      </c>
      <c r="H146" t="s">
        <v>164</v>
      </c>
      <c r="I146">
        <v>20</v>
      </c>
      <c r="J146">
        <v>81</v>
      </c>
      <c r="K146">
        <v>86.843999999999994</v>
      </c>
      <c r="L146" t="s">
        <v>32</v>
      </c>
      <c r="M146" t="str">
        <f t="shared" si="2"/>
        <v>1989-Q4</v>
      </c>
      <c r="N146" s="5">
        <f>INDEX(Sheet1!$B$2:$GX$9, MATCH(auscathist!L146, Sheet1!$A$2:$A$9, 0), MATCH(auscathist!M146, Sheet1!$B$1:$GX$1, 0))</f>
        <v>4348225</v>
      </c>
    </row>
    <row r="147" spans="1:14">
      <c r="A147">
        <v>146</v>
      </c>
      <c r="B147">
        <v>1989</v>
      </c>
      <c r="C147">
        <v>2</v>
      </c>
      <c r="D147" s="1">
        <v>32602</v>
      </c>
      <c r="E147" t="s">
        <v>15</v>
      </c>
      <c r="F147" t="s">
        <v>165</v>
      </c>
      <c r="G147" t="s">
        <v>13</v>
      </c>
      <c r="H147" t="s">
        <v>166</v>
      </c>
      <c r="I147">
        <v>26</v>
      </c>
      <c r="J147">
        <v>138</v>
      </c>
      <c r="K147">
        <v>147.95599999999999</v>
      </c>
      <c r="L147" t="s">
        <v>16</v>
      </c>
      <c r="M147" t="str">
        <f t="shared" si="2"/>
        <v>1989-Q2</v>
      </c>
      <c r="N147" s="5">
        <f>INDEX(Sheet1!$B$2:$GX$9, MATCH(auscathist!L147, Sheet1!$A$2:$A$9, 0), MATCH(auscathist!M147, Sheet1!$B$1:$GX$1, 0))</f>
        <v>2827637</v>
      </c>
    </row>
    <row r="148" spans="1:14">
      <c r="A148">
        <v>147</v>
      </c>
      <c r="B148">
        <v>1989</v>
      </c>
      <c r="C148">
        <v>1</v>
      </c>
      <c r="D148" s="1">
        <v>32546</v>
      </c>
      <c r="E148" t="s">
        <v>15</v>
      </c>
      <c r="F148" t="s">
        <v>62</v>
      </c>
      <c r="G148" t="s">
        <v>62</v>
      </c>
      <c r="H148" t="s">
        <v>35</v>
      </c>
      <c r="I148">
        <v>17</v>
      </c>
      <c r="J148">
        <v>74</v>
      </c>
      <c r="K148">
        <v>79.338999999999999</v>
      </c>
      <c r="L148" t="s">
        <v>32</v>
      </c>
      <c r="M148" t="str">
        <f t="shared" si="2"/>
        <v>1989-Q1</v>
      </c>
      <c r="N148" s="5">
        <f>INDEX(Sheet1!$B$2:$GX$9, MATCH(auscathist!L148, Sheet1!$A$2:$A$9, 0), MATCH(auscathist!M148, Sheet1!$B$1:$GX$1, 0))</f>
        <v>4309978</v>
      </c>
    </row>
    <row r="149" spans="1:14">
      <c r="A149">
        <v>148</v>
      </c>
      <c r="B149">
        <v>1988</v>
      </c>
      <c r="C149">
        <v>4</v>
      </c>
      <c r="D149" s="1">
        <v>32477</v>
      </c>
      <c r="E149" t="s">
        <v>15</v>
      </c>
      <c r="F149" t="s">
        <v>62</v>
      </c>
      <c r="G149" t="s">
        <v>62</v>
      </c>
      <c r="H149" t="s">
        <v>35</v>
      </c>
      <c r="I149">
        <v>11</v>
      </c>
      <c r="J149">
        <v>48</v>
      </c>
      <c r="K149">
        <v>51.463000000000001</v>
      </c>
      <c r="L149" t="s">
        <v>32</v>
      </c>
      <c r="M149" t="str">
        <f t="shared" si="2"/>
        <v>1988-Q4</v>
      </c>
      <c r="N149" s="5">
        <f>INDEX(Sheet1!$B$2:$GX$9, MATCH(auscathist!L149, Sheet1!$A$2:$A$9, 0), MATCH(auscathist!M149, Sheet1!$B$1:$GX$1, 0))</f>
        <v>4295300</v>
      </c>
    </row>
    <row r="150" spans="1:14">
      <c r="A150">
        <v>149</v>
      </c>
      <c r="B150">
        <v>1988</v>
      </c>
      <c r="C150">
        <v>3</v>
      </c>
      <c r="D150" s="1">
        <v>32377</v>
      </c>
      <c r="E150" t="s">
        <v>15</v>
      </c>
      <c r="F150" t="s">
        <v>24</v>
      </c>
      <c r="G150" t="s">
        <v>24</v>
      </c>
      <c r="H150" t="s">
        <v>167</v>
      </c>
      <c r="I150">
        <v>8</v>
      </c>
      <c r="J150">
        <v>60</v>
      </c>
      <c r="K150">
        <v>64.328999999999994</v>
      </c>
      <c r="L150" t="s">
        <v>20</v>
      </c>
      <c r="M150" t="str">
        <f t="shared" si="2"/>
        <v>1988-Q3</v>
      </c>
      <c r="N150" s="5">
        <f>INDEX(Sheet1!$B$2:$GX$9, MATCH(auscathist!L150, Sheet1!$A$2:$A$9, 0), MATCH(auscathist!M150, Sheet1!$B$1:$GX$1, 0))</f>
        <v>1548042</v>
      </c>
    </row>
    <row r="151" spans="1:14">
      <c r="A151">
        <v>150</v>
      </c>
      <c r="B151">
        <v>1988</v>
      </c>
      <c r="C151">
        <v>2</v>
      </c>
      <c r="D151" s="1">
        <v>32284</v>
      </c>
      <c r="E151" t="s">
        <v>15</v>
      </c>
      <c r="F151" t="s">
        <v>168</v>
      </c>
      <c r="G151" t="s">
        <v>13</v>
      </c>
      <c r="H151" t="s">
        <v>169</v>
      </c>
      <c r="I151">
        <v>20</v>
      </c>
      <c r="J151">
        <v>117</v>
      </c>
      <c r="K151">
        <v>125.441</v>
      </c>
      <c r="L151" t="s">
        <v>20</v>
      </c>
      <c r="M151" t="str">
        <f t="shared" si="2"/>
        <v>1988-Q2</v>
      </c>
      <c r="N151" s="5">
        <f>INDEX(Sheet1!$B$2:$GX$9, MATCH(auscathist!L151, Sheet1!$A$2:$A$9, 0), MATCH(auscathist!M151, Sheet1!$B$1:$GX$1, 0))</f>
        <v>1535167</v>
      </c>
    </row>
    <row r="152" spans="1:14">
      <c r="A152">
        <v>151</v>
      </c>
      <c r="B152">
        <v>1988</v>
      </c>
      <c r="C152">
        <v>2</v>
      </c>
      <c r="D152" s="1">
        <v>32263</v>
      </c>
      <c r="E152" t="s">
        <v>15</v>
      </c>
      <c r="F152" t="s">
        <v>30</v>
      </c>
      <c r="G152" t="s">
        <v>30</v>
      </c>
      <c r="H152" t="s">
        <v>107</v>
      </c>
      <c r="I152">
        <v>25</v>
      </c>
      <c r="J152">
        <v>139</v>
      </c>
      <c r="K152">
        <v>149.02799999999999</v>
      </c>
      <c r="L152" t="s">
        <v>22</v>
      </c>
      <c r="M152" t="str">
        <f t="shared" si="2"/>
        <v>1988-Q2</v>
      </c>
      <c r="N152" s="5">
        <f>INDEX(Sheet1!$B$2:$GX$9, MATCH(auscathist!L152, Sheet1!$A$2:$A$9, 0), MATCH(auscathist!M152, Sheet1!$B$1:$GX$1, 0))</f>
        <v>5707309</v>
      </c>
    </row>
    <row r="153" spans="1:14">
      <c r="A153">
        <v>152</v>
      </c>
      <c r="B153">
        <v>1988</v>
      </c>
      <c r="C153">
        <v>2</v>
      </c>
      <c r="D153" s="1">
        <v>32234</v>
      </c>
      <c r="E153" t="s">
        <v>15</v>
      </c>
      <c r="F153" t="s">
        <v>30</v>
      </c>
      <c r="G153" t="s">
        <v>30</v>
      </c>
      <c r="H153" t="s">
        <v>170</v>
      </c>
      <c r="I153">
        <v>10</v>
      </c>
      <c r="J153">
        <v>68</v>
      </c>
      <c r="K153">
        <v>72.906000000000006</v>
      </c>
      <c r="L153" t="s">
        <v>134</v>
      </c>
      <c r="M153" t="str">
        <f t="shared" si="2"/>
        <v>1988-Q2</v>
      </c>
      <c r="N153" s="5">
        <f>INDEX(Sheet1!$B$2:$GX$9, MATCH(auscathist!L153, Sheet1!$A$2:$A$9, 0), MATCH(auscathist!M153, Sheet1!$B$1:$GX$1, 0))</f>
        <v>159026</v>
      </c>
    </row>
    <row r="154" spans="1:14">
      <c r="A154">
        <v>153</v>
      </c>
      <c r="B154">
        <v>1987</v>
      </c>
      <c r="C154">
        <v>4</v>
      </c>
      <c r="D154" s="1">
        <v>32090</v>
      </c>
      <c r="E154" t="s">
        <v>15</v>
      </c>
      <c r="F154" t="s">
        <v>30</v>
      </c>
      <c r="G154" t="s">
        <v>30</v>
      </c>
      <c r="H154" t="s">
        <v>35</v>
      </c>
      <c r="I154">
        <v>8</v>
      </c>
      <c r="J154">
        <v>40</v>
      </c>
      <c r="K154">
        <v>42.886000000000003</v>
      </c>
      <c r="L154" t="s">
        <v>32</v>
      </c>
      <c r="M154" t="str">
        <f t="shared" si="2"/>
        <v>1987-Q4</v>
      </c>
      <c r="N154" s="5">
        <f>INDEX(Sheet1!$B$2:$GX$9, MATCH(auscathist!L154, Sheet1!$A$2:$A$9, 0), MATCH(auscathist!M154, Sheet1!$B$1:$GX$1, 0))</f>
        <v>4234945</v>
      </c>
    </row>
    <row r="155" spans="1:14">
      <c r="A155">
        <v>154</v>
      </c>
      <c r="B155">
        <v>1987</v>
      </c>
      <c r="C155">
        <v>3</v>
      </c>
      <c r="D155" s="1">
        <v>31987</v>
      </c>
      <c r="E155" t="s">
        <v>15</v>
      </c>
      <c r="F155" t="s">
        <v>62</v>
      </c>
      <c r="G155" t="s">
        <v>62</v>
      </c>
      <c r="H155" t="s">
        <v>171</v>
      </c>
      <c r="I155">
        <v>2</v>
      </c>
      <c r="J155">
        <v>17</v>
      </c>
      <c r="K155">
        <v>18.225999999999999</v>
      </c>
      <c r="L155" t="s">
        <v>20</v>
      </c>
      <c r="M155" t="str">
        <f t="shared" si="2"/>
        <v>1987-Q3</v>
      </c>
      <c r="N155" s="5">
        <f>INDEX(Sheet1!$B$2:$GX$9, MATCH(auscathist!L155, Sheet1!$A$2:$A$9, 0), MATCH(auscathist!M155, Sheet1!$B$1:$GX$1, 0))</f>
        <v>1505294</v>
      </c>
    </row>
    <row r="156" spans="1:14">
      <c r="A156">
        <v>155</v>
      </c>
      <c r="B156">
        <v>1987</v>
      </c>
      <c r="C156">
        <v>1</v>
      </c>
      <c r="D156" s="1">
        <v>31809</v>
      </c>
      <c r="E156" t="s">
        <v>15</v>
      </c>
      <c r="F156" t="s">
        <v>18</v>
      </c>
      <c r="G156" t="s">
        <v>18</v>
      </c>
      <c r="H156" t="s">
        <v>172</v>
      </c>
      <c r="I156">
        <v>7</v>
      </c>
      <c r="J156">
        <v>32</v>
      </c>
      <c r="K156">
        <v>34.308999999999997</v>
      </c>
      <c r="L156" t="s">
        <v>22</v>
      </c>
      <c r="M156" t="str">
        <f t="shared" si="2"/>
        <v>1987-Q1</v>
      </c>
      <c r="N156" s="5">
        <f>INDEX(Sheet1!$B$2:$GX$9, MATCH(auscathist!L156, Sheet1!$A$2:$A$9, 0), MATCH(auscathist!M156, Sheet1!$B$1:$GX$1, 0))</f>
        <v>5596207</v>
      </c>
    </row>
    <row r="157" spans="1:14">
      <c r="A157">
        <v>156</v>
      </c>
      <c r="B157">
        <v>1986</v>
      </c>
      <c r="C157">
        <v>4</v>
      </c>
      <c r="D157" s="1">
        <v>31752</v>
      </c>
      <c r="E157" t="s">
        <v>15</v>
      </c>
      <c r="F157" t="s">
        <v>24</v>
      </c>
      <c r="G157" t="s">
        <v>24</v>
      </c>
      <c r="H157" t="s">
        <v>158</v>
      </c>
      <c r="I157">
        <v>10</v>
      </c>
      <c r="J157">
        <v>50</v>
      </c>
      <c r="K157">
        <v>53.606999999999999</v>
      </c>
      <c r="L157" t="s">
        <v>96</v>
      </c>
      <c r="M157" t="str">
        <f t="shared" si="2"/>
        <v>1986-Q4</v>
      </c>
      <c r="N157" s="5">
        <f>INDEX(Sheet1!$B$2:$GX$9, MATCH(auscathist!L157, Sheet1!$A$2:$A$9, 0), MATCH(auscathist!M157, Sheet1!$B$1:$GX$1, 0))</f>
        <v>1387499</v>
      </c>
    </row>
    <row r="158" spans="1:14">
      <c r="A158">
        <v>157</v>
      </c>
      <c r="B158">
        <v>1986</v>
      </c>
      <c r="C158">
        <v>4</v>
      </c>
      <c r="D158" s="1">
        <v>31688</v>
      </c>
      <c r="E158" t="s">
        <v>15</v>
      </c>
      <c r="F158" t="s">
        <v>79</v>
      </c>
      <c r="G158" t="s">
        <v>68</v>
      </c>
      <c r="H158" t="s">
        <v>173</v>
      </c>
      <c r="I158">
        <v>104</v>
      </c>
      <c r="J158">
        <v>638</v>
      </c>
      <c r="K158">
        <v>684.02800000000002</v>
      </c>
      <c r="L158" t="s">
        <v>22</v>
      </c>
      <c r="M158" t="str">
        <f t="shared" si="2"/>
        <v>1986-Q4</v>
      </c>
      <c r="N158" s="5">
        <f>INDEX(Sheet1!$B$2:$GX$9, MATCH(auscathist!L158, Sheet1!$A$2:$A$9, 0), MATCH(auscathist!M158, Sheet1!$B$1:$GX$1, 0))</f>
        <v>5574251</v>
      </c>
    </row>
    <row r="159" spans="1:14">
      <c r="A159">
        <v>158</v>
      </c>
      <c r="B159">
        <v>1986</v>
      </c>
      <c r="C159">
        <v>3</v>
      </c>
      <c r="D159" s="1">
        <v>31629</v>
      </c>
      <c r="E159" t="s">
        <v>15</v>
      </c>
      <c r="F159" t="s">
        <v>62</v>
      </c>
      <c r="G159" t="s">
        <v>62</v>
      </c>
      <c r="H159" t="s">
        <v>107</v>
      </c>
      <c r="I159">
        <v>35</v>
      </c>
      <c r="J159">
        <v>215</v>
      </c>
      <c r="K159">
        <v>230.511</v>
      </c>
      <c r="L159" t="s">
        <v>22</v>
      </c>
      <c r="M159" t="str">
        <f t="shared" si="2"/>
        <v>1986-Q3</v>
      </c>
      <c r="N159" s="5">
        <f>INDEX(Sheet1!$B$2:$GX$9, MATCH(auscathist!L159, Sheet1!$A$2:$A$9, 0), MATCH(auscathist!M159, Sheet1!$B$1:$GX$1, 0))</f>
        <v>5549928</v>
      </c>
    </row>
    <row r="160" spans="1:14">
      <c r="A160">
        <v>159</v>
      </c>
      <c r="B160">
        <v>1986</v>
      </c>
      <c r="C160">
        <v>1</v>
      </c>
      <c r="D160" s="1">
        <v>31444</v>
      </c>
      <c r="E160" t="s">
        <v>15</v>
      </c>
      <c r="F160" t="s">
        <v>174</v>
      </c>
      <c r="G160" t="s">
        <v>13</v>
      </c>
      <c r="H160" t="s">
        <v>175</v>
      </c>
      <c r="I160">
        <v>40</v>
      </c>
      <c r="J160">
        <v>205</v>
      </c>
      <c r="K160">
        <v>219.79</v>
      </c>
      <c r="L160" t="s">
        <v>16</v>
      </c>
      <c r="M160" t="str">
        <f t="shared" si="2"/>
        <v>1986-Q1</v>
      </c>
      <c r="N160" s="5">
        <f>INDEX(Sheet1!$B$2:$GX$9, MATCH(auscathist!L160, Sheet1!$A$2:$A$9, 0), MATCH(auscathist!M160, Sheet1!$B$1:$GX$1, 0))</f>
        <v>2610205</v>
      </c>
    </row>
    <row r="161" spans="1:14">
      <c r="A161">
        <v>160</v>
      </c>
      <c r="B161">
        <v>1986</v>
      </c>
      <c r="C161">
        <v>1</v>
      </c>
      <c r="D161" s="1">
        <v>31433</v>
      </c>
      <c r="E161" t="s">
        <v>15</v>
      </c>
      <c r="F161" t="s">
        <v>79</v>
      </c>
      <c r="G161" t="s">
        <v>68</v>
      </c>
      <c r="H161" t="s">
        <v>176</v>
      </c>
      <c r="I161">
        <v>25</v>
      </c>
      <c r="J161">
        <v>160</v>
      </c>
      <c r="K161">
        <v>171.54300000000001</v>
      </c>
      <c r="L161" t="s">
        <v>22</v>
      </c>
      <c r="M161" t="str">
        <f t="shared" si="2"/>
        <v>1986-Q1</v>
      </c>
      <c r="N161" s="5">
        <f>INDEX(Sheet1!$B$2:$GX$9, MATCH(auscathist!L161, Sheet1!$A$2:$A$9, 0), MATCH(auscathist!M161, Sheet1!$B$1:$GX$1, 0))</f>
        <v>5516377</v>
      </c>
    </row>
    <row r="162" spans="1:14">
      <c r="A162">
        <v>161</v>
      </c>
      <c r="B162">
        <v>1985</v>
      </c>
      <c r="C162">
        <v>1</v>
      </c>
      <c r="D162" s="1">
        <v>31065</v>
      </c>
      <c r="E162" t="s">
        <v>15</v>
      </c>
      <c r="F162" t="s">
        <v>79</v>
      </c>
      <c r="G162" t="s">
        <v>68</v>
      </c>
      <c r="H162" t="s">
        <v>57</v>
      </c>
      <c r="I162">
        <v>180</v>
      </c>
      <c r="J162">
        <v>2063</v>
      </c>
      <c r="K162">
        <v>2211.8339999999998</v>
      </c>
      <c r="L162" t="s">
        <v>16</v>
      </c>
      <c r="M162" t="str">
        <f t="shared" si="2"/>
        <v>1985-Q1</v>
      </c>
      <c r="N162" s="5">
        <f>INDEX(Sheet1!$B$2:$GX$9, MATCH(auscathist!L162, Sheet1!$A$2:$A$9, 0), MATCH(auscathist!M162, Sheet1!$B$1:$GX$1, 0))</f>
        <v>2559452</v>
      </c>
    </row>
    <row r="163" spans="1:14">
      <c r="A163">
        <v>162</v>
      </c>
      <c r="B163">
        <v>1985</v>
      </c>
      <c r="C163">
        <v>3</v>
      </c>
      <c r="D163" s="1">
        <v>31300</v>
      </c>
      <c r="E163" t="s">
        <v>15</v>
      </c>
      <c r="F163" t="s">
        <v>79</v>
      </c>
      <c r="G163" t="s">
        <v>68</v>
      </c>
      <c r="H163" t="s">
        <v>35</v>
      </c>
      <c r="I163">
        <v>10</v>
      </c>
      <c r="J163">
        <v>63</v>
      </c>
      <c r="K163">
        <v>67.545000000000002</v>
      </c>
      <c r="L163" t="s">
        <v>32</v>
      </c>
      <c r="M163" t="str">
        <f t="shared" si="2"/>
        <v>1985-Q3</v>
      </c>
      <c r="N163" s="5">
        <f>INDEX(Sheet1!$B$2:$GX$9, MATCH(auscathist!L163, Sheet1!$A$2:$A$9, 0), MATCH(auscathist!M163, Sheet1!$B$1:$GX$1, 0))</f>
        <v>4129796</v>
      </c>
    </row>
    <row r="164" spans="1:14">
      <c r="A164">
        <v>163</v>
      </c>
      <c r="B164">
        <v>1984</v>
      </c>
      <c r="C164">
        <v>4</v>
      </c>
      <c r="D164" s="1">
        <v>30991</v>
      </c>
      <c r="E164" t="s">
        <v>15</v>
      </c>
      <c r="F164" t="s">
        <v>30</v>
      </c>
      <c r="G164" t="s">
        <v>30</v>
      </c>
      <c r="H164" t="s">
        <v>107</v>
      </c>
      <c r="I164">
        <v>80</v>
      </c>
      <c r="J164">
        <v>578</v>
      </c>
      <c r="K164">
        <v>619.69899999999996</v>
      </c>
      <c r="L164" t="s">
        <v>22</v>
      </c>
      <c r="M164" t="str">
        <f t="shared" si="2"/>
        <v>1984-Q4</v>
      </c>
      <c r="N164" s="5">
        <f>INDEX(Sheet1!$B$2:$GX$9, MATCH(auscathist!L164, Sheet1!$A$2:$A$9, 0), MATCH(auscathist!M164, Sheet1!$B$1:$GX$1, 0))</f>
        <v>5431752</v>
      </c>
    </row>
    <row r="165" spans="1:14">
      <c r="A165">
        <v>164</v>
      </c>
      <c r="B165">
        <v>1984</v>
      </c>
      <c r="C165">
        <v>3</v>
      </c>
      <c r="D165" s="1">
        <v>30926</v>
      </c>
      <c r="E165" t="s">
        <v>15</v>
      </c>
      <c r="F165" t="s">
        <v>18</v>
      </c>
      <c r="G165" t="s">
        <v>18</v>
      </c>
      <c r="H165" t="s">
        <v>177</v>
      </c>
      <c r="I165">
        <v>25</v>
      </c>
      <c r="J165">
        <v>179</v>
      </c>
      <c r="K165">
        <v>191.91399999999999</v>
      </c>
      <c r="L165" t="s">
        <v>22</v>
      </c>
      <c r="M165" t="str">
        <f t="shared" si="2"/>
        <v>1984-Q3</v>
      </c>
      <c r="N165" s="5">
        <f>INDEX(Sheet1!$B$2:$GX$9, MATCH(auscathist!L165, Sheet1!$A$2:$A$9, 0), MATCH(auscathist!M165, Sheet1!$B$1:$GX$1, 0))</f>
        <v>5416536</v>
      </c>
    </row>
    <row r="166" spans="1:14">
      <c r="A166">
        <v>165</v>
      </c>
      <c r="B166">
        <v>1984</v>
      </c>
      <c r="C166">
        <v>1</v>
      </c>
      <c r="D166" s="1">
        <v>30760</v>
      </c>
      <c r="E166" t="s">
        <v>15</v>
      </c>
      <c r="F166" t="s">
        <v>178</v>
      </c>
      <c r="G166" t="s">
        <v>13</v>
      </c>
      <c r="H166" t="s">
        <v>179</v>
      </c>
      <c r="I166">
        <v>5</v>
      </c>
      <c r="J166">
        <v>35</v>
      </c>
      <c r="K166">
        <v>37.524999999999999</v>
      </c>
      <c r="L166" t="s">
        <v>134</v>
      </c>
      <c r="M166" t="str">
        <f t="shared" si="2"/>
        <v>1984-Q1</v>
      </c>
      <c r="N166" s="5">
        <f>INDEX(Sheet1!$B$2:$GX$9, MATCH(auscathist!L166, Sheet1!$A$2:$A$9, 0), MATCH(auscathist!M166, Sheet1!$B$1:$GX$1, 0))</f>
        <v>140666</v>
      </c>
    </row>
    <row r="167" spans="1:14">
      <c r="A167">
        <v>166</v>
      </c>
      <c r="B167">
        <v>1983</v>
      </c>
      <c r="C167">
        <v>1</v>
      </c>
      <c r="D167" s="1">
        <v>30363</v>
      </c>
      <c r="E167" t="s">
        <v>15</v>
      </c>
      <c r="F167" t="s">
        <v>180</v>
      </c>
      <c r="G167" t="s">
        <v>18</v>
      </c>
      <c r="I167">
        <v>138</v>
      </c>
      <c r="J167">
        <v>1489</v>
      </c>
      <c r="K167">
        <v>1596.423</v>
      </c>
      <c r="L167" t="s">
        <v>32</v>
      </c>
      <c r="M167" t="str">
        <f t="shared" si="2"/>
        <v>1983-Q1</v>
      </c>
      <c r="N167" s="5">
        <f>INDEX(Sheet1!$B$2:$GX$9, MATCH(auscathist!L167, Sheet1!$A$2:$A$9, 0), MATCH(auscathist!M167, Sheet1!$B$1:$GX$1, 0))</f>
        <v>4025254</v>
      </c>
    </row>
    <row r="168" spans="1:14">
      <c r="A168">
        <v>167</v>
      </c>
      <c r="B168">
        <v>1983</v>
      </c>
      <c r="C168">
        <v>1</v>
      </c>
      <c r="D168" s="1">
        <v>30363</v>
      </c>
      <c r="E168" t="s">
        <v>15</v>
      </c>
      <c r="F168" t="s">
        <v>180</v>
      </c>
      <c r="G168" t="s">
        <v>18</v>
      </c>
      <c r="I168">
        <v>38</v>
      </c>
      <c r="J168">
        <v>307</v>
      </c>
      <c r="K168">
        <v>329.14800000000002</v>
      </c>
      <c r="L168" t="s">
        <v>96</v>
      </c>
      <c r="M168" t="str">
        <f t="shared" si="2"/>
        <v>1983-Q1</v>
      </c>
      <c r="N168" s="5">
        <f>INDEX(Sheet1!$B$2:$GX$9, MATCH(auscathist!L168, Sheet1!$A$2:$A$9, 0), MATCH(auscathist!M168, Sheet1!$B$1:$GX$1, 0))</f>
        <v>1342193</v>
      </c>
    </row>
    <row r="169" spans="1:14">
      <c r="A169">
        <v>168</v>
      </c>
      <c r="B169">
        <v>1982</v>
      </c>
      <c r="C169">
        <v>4</v>
      </c>
      <c r="D169" s="1">
        <v>30270</v>
      </c>
      <c r="E169" t="s">
        <v>15</v>
      </c>
      <c r="F169" t="s">
        <v>24</v>
      </c>
      <c r="G169" t="s">
        <v>24</v>
      </c>
      <c r="H169" t="s">
        <v>35</v>
      </c>
      <c r="I169">
        <v>10</v>
      </c>
      <c r="J169">
        <v>84</v>
      </c>
      <c r="K169">
        <v>90.06</v>
      </c>
      <c r="L169" t="s">
        <v>32</v>
      </c>
      <c r="M169" t="str">
        <f t="shared" si="2"/>
        <v>1982-Q4</v>
      </c>
      <c r="N169" s="5">
        <f>INDEX(Sheet1!$B$2:$GX$9, MATCH(auscathist!L169, Sheet1!$A$2:$A$9, 0), MATCH(auscathist!M169, Sheet1!$B$1:$GX$1, 0))</f>
        <v>4012687</v>
      </c>
    </row>
    <row r="170" spans="1:14">
      <c r="A170">
        <v>169</v>
      </c>
      <c r="B170">
        <v>1981</v>
      </c>
      <c r="C170">
        <v>1</v>
      </c>
      <c r="D170" s="1">
        <v>29624</v>
      </c>
      <c r="E170" t="s">
        <v>15</v>
      </c>
      <c r="F170" t="s">
        <v>62</v>
      </c>
      <c r="G170" t="s">
        <v>62</v>
      </c>
      <c r="H170" t="s">
        <v>181</v>
      </c>
      <c r="I170">
        <v>20</v>
      </c>
      <c r="J170">
        <v>205</v>
      </c>
      <c r="K170">
        <v>219.79</v>
      </c>
      <c r="L170" t="s">
        <v>16</v>
      </c>
      <c r="M170" t="str">
        <f t="shared" si="2"/>
        <v>1981-Q1</v>
      </c>
      <c r="N170" s="5">
        <f>INDEX(Sheet1!$B$2:$GX$9, MATCH(auscathist!L170, Sheet1!$A$2:$A$9, 0), MATCH(auscathist!M170, Sheet1!$B$1:$GX$1, 0))</f>
        <v>2327069.711699211</v>
      </c>
    </row>
    <row r="171" spans="1:14">
      <c r="A171">
        <v>170</v>
      </c>
      <c r="B171">
        <v>1980</v>
      </c>
      <c r="C171">
        <v>4</v>
      </c>
      <c r="D171" s="1">
        <v>29571</v>
      </c>
      <c r="E171" t="s">
        <v>15</v>
      </c>
      <c r="F171" t="s">
        <v>79</v>
      </c>
      <c r="G171" t="s">
        <v>68</v>
      </c>
      <c r="H171" t="s">
        <v>182</v>
      </c>
      <c r="I171">
        <v>15</v>
      </c>
      <c r="J171">
        <v>238</v>
      </c>
      <c r="K171">
        <v>255.17</v>
      </c>
      <c r="L171" t="s">
        <v>32</v>
      </c>
      <c r="M171" t="str">
        <f t="shared" si="2"/>
        <v>1980-Q4</v>
      </c>
      <c r="N171" s="5">
        <f>INDEX(Sheet1!$B$2:$GX$9, MATCH(auscathist!L171, Sheet1!$A$2:$A$9, 0), MATCH(auscathist!M171, Sheet1!$B$1:$GX$1, 0))</f>
        <v>3924322.7699698582</v>
      </c>
    </row>
    <row r="172" spans="1:14">
      <c r="A172">
        <v>171</v>
      </c>
      <c r="B172">
        <v>1980</v>
      </c>
      <c r="C172">
        <v>4</v>
      </c>
      <c r="D172" s="1">
        <v>29570</v>
      </c>
      <c r="E172" t="s">
        <v>15</v>
      </c>
      <c r="F172" t="s">
        <v>183</v>
      </c>
      <c r="G172" t="s">
        <v>13</v>
      </c>
      <c r="H172" t="s">
        <v>57</v>
      </c>
      <c r="I172">
        <v>7.5</v>
      </c>
      <c r="J172">
        <v>119</v>
      </c>
      <c r="K172">
        <v>127.58499999999999</v>
      </c>
      <c r="L172" t="s">
        <v>16</v>
      </c>
      <c r="M172" t="str">
        <f t="shared" si="2"/>
        <v>1980-Q4</v>
      </c>
      <c r="N172" s="5">
        <f>INDEX(Sheet1!$B$2:$GX$9, MATCH(auscathist!L172, Sheet1!$A$2:$A$9, 0), MATCH(auscathist!M172, Sheet1!$B$1:$GX$1, 0))</f>
        <v>2307125.4296457297</v>
      </c>
    </row>
    <row r="173" spans="1:14">
      <c r="A173">
        <v>172</v>
      </c>
      <c r="B173">
        <v>1980</v>
      </c>
      <c r="C173">
        <v>1</v>
      </c>
      <c r="D173" s="1">
        <v>29271</v>
      </c>
      <c r="E173" t="s">
        <v>15</v>
      </c>
      <c r="F173" t="s">
        <v>18</v>
      </c>
      <c r="G173" t="s">
        <v>18</v>
      </c>
      <c r="H173" t="s">
        <v>184</v>
      </c>
      <c r="I173">
        <v>13</v>
      </c>
      <c r="J173">
        <v>132</v>
      </c>
      <c r="K173">
        <v>141.523</v>
      </c>
      <c r="L173" t="s">
        <v>96</v>
      </c>
      <c r="M173" t="str">
        <f t="shared" si="2"/>
        <v>1980-Q1</v>
      </c>
      <c r="N173" s="5">
        <f>INDEX(Sheet1!$B$2:$GX$9, MATCH(auscathist!L173, Sheet1!$A$2:$A$9, 0), MATCH(auscathist!M173, Sheet1!$B$1:$GX$1, 0))</f>
        <v>1297833.910305118</v>
      </c>
    </row>
    <row r="174" spans="1:14">
      <c r="A174">
        <v>173</v>
      </c>
      <c r="B174">
        <v>1980</v>
      </c>
      <c r="C174">
        <v>1</v>
      </c>
      <c r="D174" s="1">
        <v>29252</v>
      </c>
      <c r="E174" t="s">
        <v>15</v>
      </c>
      <c r="F174" t="s">
        <v>185</v>
      </c>
      <c r="G174" t="s">
        <v>13</v>
      </c>
      <c r="H174" t="s">
        <v>186</v>
      </c>
      <c r="I174">
        <v>2.5</v>
      </c>
      <c r="J174">
        <v>27</v>
      </c>
      <c r="K174">
        <v>28.948</v>
      </c>
      <c r="L174" t="s">
        <v>20</v>
      </c>
      <c r="M174" t="str">
        <f t="shared" si="2"/>
        <v>1980-Q1</v>
      </c>
      <c r="N174" s="5">
        <f>INDEX(Sheet1!$B$2:$GX$9, MATCH(auscathist!L174, Sheet1!$A$2:$A$9, 0), MATCH(auscathist!M174, Sheet1!$B$1:$GX$1, 0))</f>
        <v>1258918.2091014578</v>
      </c>
    </row>
    <row r="175" spans="1:14">
      <c r="A175">
        <v>174</v>
      </c>
      <c r="B175">
        <v>1980</v>
      </c>
      <c r="C175">
        <v>1</v>
      </c>
      <c r="D175" s="1">
        <v>29230</v>
      </c>
      <c r="E175" t="s">
        <v>15</v>
      </c>
      <c r="F175" t="s">
        <v>187</v>
      </c>
      <c r="G175" t="s">
        <v>13</v>
      </c>
      <c r="H175" t="s">
        <v>188</v>
      </c>
      <c r="I175">
        <v>2.7</v>
      </c>
      <c r="J175">
        <v>31</v>
      </c>
      <c r="K175">
        <v>33.235999999999997</v>
      </c>
      <c r="L175" t="s">
        <v>20</v>
      </c>
      <c r="M175" t="str">
        <f t="shared" si="2"/>
        <v>1980-Q1</v>
      </c>
      <c r="N175" s="5">
        <f>INDEX(Sheet1!$B$2:$GX$9, MATCH(auscathist!L175, Sheet1!$A$2:$A$9, 0), MATCH(auscathist!M175, Sheet1!$B$1:$GX$1, 0))</f>
        <v>1258918.2091014578</v>
      </c>
    </row>
    <row r="176" spans="1:14">
      <c r="A176">
        <v>175</v>
      </c>
      <c r="B176">
        <v>1979</v>
      </c>
      <c r="C176">
        <v>4</v>
      </c>
      <c r="D176" s="1">
        <v>29173</v>
      </c>
      <c r="E176" t="s">
        <v>15</v>
      </c>
      <c r="F176" t="s">
        <v>79</v>
      </c>
      <c r="G176" t="s">
        <v>68</v>
      </c>
      <c r="H176" t="s">
        <v>189</v>
      </c>
      <c r="I176">
        <v>10</v>
      </c>
      <c r="J176">
        <v>92</v>
      </c>
      <c r="K176">
        <v>98.637</v>
      </c>
      <c r="L176" t="s">
        <v>96</v>
      </c>
      <c r="M176" t="str">
        <f t="shared" si="2"/>
        <v>1979-Q4</v>
      </c>
      <c r="N176" s="5">
        <f>INDEX(Sheet1!$B$2:$GX$9, MATCH(auscathist!L176, Sheet1!$A$2:$A$9, 0), MATCH(auscathist!M176, Sheet1!$B$1:$GX$1, 0))</f>
        <v>1293974.2241649281</v>
      </c>
    </row>
    <row r="177" spans="1:14">
      <c r="A177">
        <v>176</v>
      </c>
      <c r="B177">
        <v>1979</v>
      </c>
      <c r="C177">
        <v>2</v>
      </c>
      <c r="D177" s="1">
        <v>29008</v>
      </c>
      <c r="E177" t="s">
        <v>15</v>
      </c>
      <c r="F177" t="s">
        <v>151</v>
      </c>
      <c r="G177" t="s">
        <v>151</v>
      </c>
      <c r="H177" t="s">
        <v>190</v>
      </c>
      <c r="I177">
        <v>3.5</v>
      </c>
      <c r="J177">
        <v>38</v>
      </c>
      <c r="K177">
        <v>40.741</v>
      </c>
      <c r="L177" t="s">
        <v>20</v>
      </c>
      <c r="M177" t="str">
        <f t="shared" si="2"/>
        <v>1979-Q2</v>
      </c>
      <c r="N177" s="5">
        <f>INDEX(Sheet1!$B$2:$GX$9, MATCH(auscathist!L177, Sheet1!$A$2:$A$9, 0), MATCH(auscathist!M177, Sheet1!$B$1:$GX$1, 0))</f>
        <v>1233524.8183431746</v>
      </c>
    </row>
    <row r="178" spans="1:14">
      <c r="A178">
        <v>177</v>
      </c>
      <c r="B178">
        <v>1979</v>
      </c>
      <c r="C178">
        <v>1</v>
      </c>
      <c r="D178" s="1">
        <v>28927</v>
      </c>
      <c r="E178" t="s">
        <v>15</v>
      </c>
      <c r="F178" t="s">
        <v>191</v>
      </c>
      <c r="G178" t="s">
        <v>13</v>
      </c>
      <c r="H178" t="s">
        <v>192</v>
      </c>
      <c r="I178">
        <v>15</v>
      </c>
      <c r="J178">
        <v>202</v>
      </c>
      <c r="K178">
        <v>216.57300000000001</v>
      </c>
      <c r="L178" t="s">
        <v>20</v>
      </c>
      <c r="M178" t="str">
        <f t="shared" si="2"/>
        <v>1979-Q1</v>
      </c>
      <c r="N178" s="5">
        <f>INDEX(Sheet1!$B$2:$GX$9, MATCH(auscathist!L178, Sheet1!$A$2:$A$9, 0), MATCH(auscathist!M178, Sheet1!$B$1:$GX$1, 0))</f>
        <v>1225174.6926433616</v>
      </c>
    </row>
    <row r="179" spans="1:14">
      <c r="A179">
        <v>178</v>
      </c>
      <c r="B179">
        <v>1978</v>
      </c>
      <c r="C179">
        <v>2</v>
      </c>
      <c r="D179" s="1">
        <v>28584</v>
      </c>
      <c r="E179" t="s">
        <v>15</v>
      </c>
      <c r="F179" t="s">
        <v>193</v>
      </c>
      <c r="G179" t="s">
        <v>13</v>
      </c>
      <c r="H179" t="s">
        <v>19</v>
      </c>
      <c r="I179">
        <v>13</v>
      </c>
      <c r="J179">
        <v>265</v>
      </c>
      <c r="K179">
        <v>284.11799999999999</v>
      </c>
      <c r="L179" t="s">
        <v>20</v>
      </c>
      <c r="M179" t="str">
        <f t="shared" si="2"/>
        <v>1978-Q2</v>
      </c>
      <c r="N179" s="5">
        <f>INDEX(Sheet1!$B$2:$GX$9, MATCH(auscathist!L179, Sheet1!$A$2:$A$9, 0), MATCH(auscathist!M179, Sheet1!$B$1:$GX$1, 0))</f>
        <v>1200461.9356965399</v>
      </c>
    </row>
    <row r="180" spans="1:14">
      <c r="A180">
        <v>179</v>
      </c>
      <c r="B180">
        <v>1978</v>
      </c>
      <c r="C180">
        <v>1</v>
      </c>
      <c r="D180" s="1">
        <v>28550</v>
      </c>
      <c r="E180" t="s">
        <v>15</v>
      </c>
      <c r="F180" t="s">
        <v>24</v>
      </c>
      <c r="G180" t="s">
        <v>24</v>
      </c>
      <c r="H180" t="s">
        <v>194</v>
      </c>
      <c r="I180">
        <v>5</v>
      </c>
      <c r="J180">
        <v>94</v>
      </c>
      <c r="K180">
        <v>100.782</v>
      </c>
      <c r="L180" t="s">
        <v>20</v>
      </c>
      <c r="M180" t="str">
        <f t="shared" si="2"/>
        <v>1978-Q1</v>
      </c>
      <c r="N180" s="5">
        <f>INDEX(Sheet1!$B$2:$GX$9, MATCH(auscathist!L180, Sheet1!$A$2:$A$9, 0), MATCH(auscathist!M180, Sheet1!$B$1:$GX$1, 0))</f>
        <v>1192335.6232690599</v>
      </c>
    </row>
    <row r="181" spans="1:14">
      <c r="A181">
        <v>180</v>
      </c>
      <c r="B181">
        <v>1978</v>
      </c>
      <c r="C181">
        <v>1</v>
      </c>
      <c r="D181" s="1">
        <v>28531</v>
      </c>
      <c r="E181" t="s">
        <v>15</v>
      </c>
      <c r="F181" t="s">
        <v>24</v>
      </c>
      <c r="G181" t="s">
        <v>24</v>
      </c>
      <c r="H181" t="s">
        <v>195</v>
      </c>
      <c r="I181">
        <v>15</v>
      </c>
      <c r="J181">
        <v>215</v>
      </c>
      <c r="K181">
        <v>230.511</v>
      </c>
      <c r="L181" t="s">
        <v>22</v>
      </c>
      <c r="M181" t="str">
        <f t="shared" si="2"/>
        <v>1978-Q1</v>
      </c>
      <c r="N181" s="5">
        <f>INDEX(Sheet1!$B$2:$GX$9, MATCH(auscathist!L181, Sheet1!$A$2:$A$9, 0), MATCH(auscathist!M181, Sheet1!$B$1:$GX$1, 0))</f>
        <v>5011285.732993803</v>
      </c>
    </row>
    <row r="182" spans="1:14">
      <c r="A182">
        <v>181</v>
      </c>
      <c r="B182">
        <v>1978</v>
      </c>
      <c r="C182">
        <v>1</v>
      </c>
      <c r="D182" s="1">
        <v>28511</v>
      </c>
      <c r="E182" t="s">
        <v>15</v>
      </c>
      <c r="F182" t="s">
        <v>62</v>
      </c>
      <c r="G182" t="s">
        <v>62</v>
      </c>
      <c r="H182" t="s">
        <v>107</v>
      </c>
      <c r="I182">
        <v>7</v>
      </c>
      <c r="J182">
        <v>101</v>
      </c>
      <c r="K182">
        <v>108.28700000000001</v>
      </c>
      <c r="L182" t="s">
        <v>22</v>
      </c>
      <c r="M182" t="str">
        <f t="shared" si="2"/>
        <v>1978-Q1</v>
      </c>
      <c r="N182" s="5">
        <f>INDEX(Sheet1!$B$2:$GX$9, MATCH(auscathist!L182, Sheet1!$A$2:$A$9, 0), MATCH(auscathist!M182, Sheet1!$B$1:$GX$1, 0))</f>
        <v>5011285.732993803</v>
      </c>
    </row>
    <row r="183" spans="1:14">
      <c r="A183">
        <v>182</v>
      </c>
      <c r="B183">
        <v>1977</v>
      </c>
      <c r="C183">
        <v>1</v>
      </c>
      <c r="D183" s="1">
        <v>28185</v>
      </c>
      <c r="E183" t="s">
        <v>15</v>
      </c>
      <c r="F183" t="s">
        <v>30</v>
      </c>
      <c r="G183" t="s">
        <v>30</v>
      </c>
      <c r="H183" t="s">
        <v>196</v>
      </c>
      <c r="I183">
        <v>7</v>
      </c>
      <c r="J183">
        <v>98</v>
      </c>
      <c r="K183">
        <v>105.07</v>
      </c>
      <c r="L183" t="s">
        <v>22</v>
      </c>
      <c r="M183" t="str">
        <f t="shared" si="2"/>
        <v>1977-Q1</v>
      </c>
      <c r="N183" s="5">
        <f>INDEX(Sheet1!$B$2:$GX$9, MATCH(auscathist!L183, Sheet1!$A$2:$A$9, 0), MATCH(auscathist!M183, Sheet1!$B$1:$GX$1, 0))</f>
        <v>4945243.9786368189</v>
      </c>
    </row>
    <row r="184" spans="1:14">
      <c r="A184">
        <v>183</v>
      </c>
      <c r="B184">
        <v>1977</v>
      </c>
      <c r="C184">
        <v>1</v>
      </c>
      <c r="D184" s="1">
        <v>28168</v>
      </c>
      <c r="E184" t="s">
        <v>15</v>
      </c>
      <c r="F184" t="s">
        <v>18</v>
      </c>
      <c r="G184" t="s">
        <v>18</v>
      </c>
      <c r="H184" t="s">
        <v>197</v>
      </c>
      <c r="I184">
        <v>9</v>
      </c>
      <c r="J184">
        <v>101</v>
      </c>
      <c r="K184">
        <v>108.28700000000001</v>
      </c>
      <c r="L184" t="s">
        <v>32</v>
      </c>
      <c r="M184" t="str">
        <f t="shared" si="2"/>
        <v>1977-Q1</v>
      </c>
      <c r="N184" s="5">
        <f>INDEX(Sheet1!$B$2:$GX$9, MATCH(auscathist!L184, Sheet1!$A$2:$A$9, 0), MATCH(auscathist!M184, Sheet1!$B$1:$GX$1, 0))</f>
        <v>3763356.3080529519</v>
      </c>
    </row>
    <row r="185" spans="1:14">
      <c r="A185">
        <v>184</v>
      </c>
      <c r="B185">
        <v>1977</v>
      </c>
      <c r="C185">
        <v>1</v>
      </c>
      <c r="D185" s="1">
        <v>28161</v>
      </c>
      <c r="E185" t="s">
        <v>15</v>
      </c>
      <c r="F185" t="s">
        <v>24</v>
      </c>
      <c r="G185" t="s">
        <v>24</v>
      </c>
      <c r="H185" t="s">
        <v>198</v>
      </c>
      <c r="I185">
        <v>4</v>
      </c>
      <c r="J185">
        <v>70</v>
      </c>
      <c r="K185">
        <v>75.05</v>
      </c>
      <c r="L185" t="s">
        <v>32</v>
      </c>
      <c r="M185" t="str">
        <f t="shared" si="2"/>
        <v>1977-Q1</v>
      </c>
      <c r="N185" s="5">
        <f>INDEX(Sheet1!$B$2:$GX$9, MATCH(auscathist!L185, Sheet1!$A$2:$A$9, 0), MATCH(auscathist!M185, Sheet1!$B$1:$GX$1, 0))</f>
        <v>3763356.3080529519</v>
      </c>
    </row>
    <row r="186" spans="1:14">
      <c r="A186">
        <v>185</v>
      </c>
      <c r="B186">
        <v>1977</v>
      </c>
      <c r="C186">
        <v>1</v>
      </c>
      <c r="D186" s="1">
        <v>28146</v>
      </c>
      <c r="E186" t="s">
        <v>15</v>
      </c>
      <c r="F186" t="s">
        <v>24</v>
      </c>
      <c r="G186" t="s">
        <v>24</v>
      </c>
      <c r="H186" t="s">
        <v>107</v>
      </c>
      <c r="I186">
        <v>15</v>
      </c>
      <c r="J186">
        <v>244</v>
      </c>
      <c r="K186">
        <v>261.60300000000001</v>
      </c>
      <c r="L186" t="s">
        <v>22</v>
      </c>
      <c r="M186" t="str">
        <f t="shared" si="2"/>
        <v>1977-Q1</v>
      </c>
      <c r="N186" s="5">
        <f>INDEX(Sheet1!$B$2:$GX$9, MATCH(auscathist!L186, Sheet1!$A$2:$A$9, 0), MATCH(auscathist!M186, Sheet1!$B$1:$GX$1, 0))</f>
        <v>4945243.9786368189</v>
      </c>
    </row>
    <row r="187" spans="1:14">
      <c r="A187">
        <v>186</v>
      </c>
      <c r="B187">
        <v>1976</v>
      </c>
      <c r="C187">
        <v>4</v>
      </c>
      <c r="D187" s="1">
        <v>28113</v>
      </c>
      <c r="E187" t="s">
        <v>15</v>
      </c>
      <c r="F187" t="s">
        <v>199</v>
      </c>
      <c r="G187" t="s">
        <v>13</v>
      </c>
      <c r="I187">
        <v>15</v>
      </c>
      <c r="J187">
        <v>310</v>
      </c>
      <c r="K187">
        <v>332.36500000000001</v>
      </c>
      <c r="L187" t="s">
        <v>16</v>
      </c>
      <c r="M187" t="str">
        <f t="shared" si="2"/>
        <v>1976-Q4</v>
      </c>
      <c r="N187" s="5">
        <f>INDEX(Sheet1!$B$2:$GX$9, MATCH(auscathist!L187, Sheet1!$A$2:$A$9, 0), MATCH(auscathist!M187, Sheet1!$B$1:$GX$1, 0))</f>
        <v>2010296.9163919622</v>
      </c>
    </row>
    <row r="188" spans="1:14">
      <c r="A188">
        <v>187</v>
      </c>
      <c r="B188">
        <v>1976</v>
      </c>
      <c r="C188">
        <v>4</v>
      </c>
      <c r="D188" s="1">
        <v>28074</v>
      </c>
      <c r="E188" t="s">
        <v>15</v>
      </c>
      <c r="F188" t="s">
        <v>79</v>
      </c>
      <c r="G188" t="s">
        <v>68</v>
      </c>
      <c r="H188" t="s">
        <v>107</v>
      </c>
      <c r="I188">
        <v>40</v>
      </c>
      <c r="J188">
        <v>650</v>
      </c>
      <c r="K188">
        <v>696.89400000000001</v>
      </c>
      <c r="L188" t="s">
        <v>22</v>
      </c>
      <c r="M188" t="str">
        <f t="shared" si="2"/>
        <v>1976-Q4</v>
      </c>
      <c r="N188" s="5">
        <f>INDEX(Sheet1!$B$2:$GX$9, MATCH(auscathist!L188, Sheet1!$A$2:$A$9, 0), MATCH(auscathist!M188, Sheet1!$B$1:$GX$1, 0))</f>
        <v>4928869.9810315045</v>
      </c>
    </row>
    <row r="189" spans="1:14">
      <c r="A189">
        <v>188</v>
      </c>
      <c r="B189">
        <v>1976</v>
      </c>
      <c r="C189">
        <v>1</v>
      </c>
      <c r="D189" s="1">
        <v>27812</v>
      </c>
      <c r="E189" t="s">
        <v>15</v>
      </c>
      <c r="F189" t="s">
        <v>200</v>
      </c>
      <c r="G189" t="s">
        <v>13</v>
      </c>
      <c r="H189" t="s">
        <v>201</v>
      </c>
      <c r="I189">
        <v>3</v>
      </c>
      <c r="J189">
        <v>40</v>
      </c>
      <c r="K189">
        <v>42.886000000000003</v>
      </c>
      <c r="L189" t="s">
        <v>16</v>
      </c>
      <c r="M189" t="str">
        <f t="shared" si="2"/>
        <v>1976-Q1</v>
      </c>
      <c r="N189" s="5">
        <f>INDEX(Sheet1!$B$2:$GX$9, MATCH(auscathist!L189, Sheet1!$A$2:$A$9, 0), MATCH(auscathist!M189, Sheet1!$B$1:$GX$1, 0))</f>
        <v>1959050.5575962476</v>
      </c>
    </row>
    <row r="190" spans="1:14">
      <c r="A190">
        <v>189</v>
      </c>
      <c r="B190">
        <v>1976</v>
      </c>
      <c r="C190">
        <v>1</v>
      </c>
      <c r="D190" s="1">
        <v>27768</v>
      </c>
      <c r="E190" t="s">
        <v>15</v>
      </c>
      <c r="F190" t="s">
        <v>79</v>
      </c>
      <c r="G190" t="s">
        <v>68</v>
      </c>
      <c r="H190" t="s">
        <v>202</v>
      </c>
      <c r="I190">
        <v>12</v>
      </c>
      <c r="J190">
        <v>282</v>
      </c>
      <c r="K190">
        <v>302.34500000000003</v>
      </c>
      <c r="L190" t="s">
        <v>16</v>
      </c>
      <c r="M190" t="str">
        <f t="shared" si="2"/>
        <v>1976-Q1</v>
      </c>
      <c r="N190" s="5">
        <f>INDEX(Sheet1!$B$2:$GX$9, MATCH(auscathist!L190, Sheet1!$A$2:$A$9, 0), MATCH(auscathist!M190, Sheet1!$B$1:$GX$1, 0))</f>
        <v>1959050.5575962476</v>
      </c>
    </row>
    <row r="191" spans="1:14">
      <c r="A191">
        <v>190</v>
      </c>
      <c r="B191">
        <v>1975</v>
      </c>
      <c r="C191">
        <v>4</v>
      </c>
      <c r="D191" s="1">
        <v>27735</v>
      </c>
      <c r="E191" t="s">
        <v>15</v>
      </c>
      <c r="F191" t="s">
        <v>203</v>
      </c>
      <c r="G191" t="s">
        <v>13</v>
      </c>
      <c r="H191" t="s">
        <v>188</v>
      </c>
      <c r="I191">
        <v>20</v>
      </c>
      <c r="J191">
        <v>398</v>
      </c>
      <c r="K191">
        <v>426.71300000000002</v>
      </c>
      <c r="L191" t="s">
        <v>20</v>
      </c>
      <c r="M191" t="str">
        <f t="shared" si="2"/>
        <v>1975-Q4</v>
      </c>
      <c r="N191" s="5">
        <f>INDEX(Sheet1!$B$2:$GX$9, MATCH(auscathist!L191, Sheet1!$A$2:$A$9, 0), MATCH(auscathist!M191, Sheet1!$B$1:$GX$1, 0))</f>
        <v>1121630.0840222733</v>
      </c>
    </row>
    <row r="192" spans="1:14">
      <c r="A192">
        <v>191</v>
      </c>
      <c r="B192">
        <v>1975</v>
      </c>
      <c r="C192">
        <v>1</v>
      </c>
      <c r="D192" s="1">
        <v>27462</v>
      </c>
      <c r="E192" t="s">
        <v>15</v>
      </c>
      <c r="F192" t="s">
        <v>30</v>
      </c>
      <c r="G192" t="s">
        <v>30</v>
      </c>
      <c r="H192" t="s">
        <v>107</v>
      </c>
      <c r="I192">
        <v>15</v>
      </c>
      <c r="J192">
        <v>339</v>
      </c>
      <c r="K192">
        <v>363.45699999999999</v>
      </c>
      <c r="L192" t="s">
        <v>22</v>
      </c>
      <c r="M192" t="str">
        <f t="shared" si="2"/>
        <v>1975-Q1</v>
      </c>
      <c r="N192" s="5">
        <f>INDEX(Sheet1!$B$2:$GX$9, MATCH(auscathist!L192, Sheet1!$A$2:$A$9, 0), MATCH(auscathist!M192, Sheet1!$B$1:$GX$1, 0))</f>
        <v>4815760.0146283945</v>
      </c>
    </row>
    <row r="193" spans="1:14">
      <c r="A193">
        <v>192</v>
      </c>
      <c r="B193">
        <v>1974</v>
      </c>
      <c r="C193">
        <v>4</v>
      </c>
      <c r="D193" s="1">
        <v>27387</v>
      </c>
      <c r="E193" t="s">
        <v>15</v>
      </c>
      <c r="F193" t="s">
        <v>204</v>
      </c>
      <c r="G193" t="s">
        <v>13</v>
      </c>
      <c r="H193" t="s">
        <v>205</v>
      </c>
      <c r="I193">
        <v>200</v>
      </c>
      <c r="J193">
        <v>4090</v>
      </c>
      <c r="K193">
        <v>4385.07</v>
      </c>
      <c r="L193" t="s">
        <v>134</v>
      </c>
      <c r="M193" t="str">
        <f t="shared" si="2"/>
        <v>1974-Q4</v>
      </c>
      <c r="N193" s="5">
        <f>INDEX(Sheet1!$B$2:$GX$9, MATCH(auscathist!L193, Sheet1!$A$2:$A$9, 0), MATCH(auscathist!M193, Sheet1!$B$1:$GX$1, 0))</f>
        <v>72904.513340581674</v>
      </c>
    </row>
    <row r="194" spans="1:14">
      <c r="A194">
        <v>193</v>
      </c>
      <c r="B194">
        <v>1974</v>
      </c>
      <c r="C194">
        <v>2</v>
      </c>
      <c r="D194" s="1">
        <v>27174</v>
      </c>
      <c r="E194" t="s">
        <v>15</v>
      </c>
      <c r="F194" t="s">
        <v>79</v>
      </c>
      <c r="G194" t="s">
        <v>68</v>
      </c>
      <c r="H194" t="s">
        <v>107</v>
      </c>
      <c r="I194">
        <v>20</v>
      </c>
      <c r="J194">
        <v>509</v>
      </c>
      <c r="K194">
        <v>545.721</v>
      </c>
      <c r="L194" t="s">
        <v>22</v>
      </c>
      <c r="M194" t="str">
        <f t="shared" si="2"/>
        <v>1974-Q2</v>
      </c>
      <c r="N194" s="5">
        <f>INDEX(Sheet1!$B$2:$GX$9, MATCH(auscathist!L194, Sheet1!$A$2:$A$9, 0), MATCH(auscathist!M194, Sheet1!$B$1:$GX$1, 0))</f>
        <v>4768082.4215765949</v>
      </c>
    </row>
    <row r="195" spans="1:14">
      <c r="A195">
        <v>194</v>
      </c>
      <c r="B195">
        <v>1974</v>
      </c>
      <c r="C195">
        <v>2</v>
      </c>
      <c r="D195" s="1">
        <v>27164</v>
      </c>
      <c r="E195" t="s">
        <v>15</v>
      </c>
      <c r="F195" t="s">
        <v>30</v>
      </c>
      <c r="G195" t="s">
        <v>30</v>
      </c>
      <c r="H195" t="s">
        <v>206</v>
      </c>
      <c r="I195">
        <v>4</v>
      </c>
      <c r="J195">
        <v>117</v>
      </c>
      <c r="K195">
        <v>125.441</v>
      </c>
      <c r="L195" t="s">
        <v>32</v>
      </c>
      <c r="M195" t="str">
        <f t="shared" ref="M195:M207" si="3">B195&amp;"-Q"&amp;C195</f>
        <v>1974-Q2</v>
      </c>
      <c r="N195" s="5">
        <f>INDEX(Sheet1!$B$2:$GX$9, MATCH(auscathist!L195, Sheet1!$A$2:$A$9, 0), MATCH(auscathist!M195, Sheet1!$B$1:$GX$1, 0))</f>
        <v>3649525.971010081</v>
      </c>
    </row>
    <row r="196" spans="1:14">
      <c r="A196">
        <v>195</v>
      </c>
      <c r="B196">
        <v>1974</v>
      </c>
      <c r="C196">
        <v>2</v>
      </c>
      <c r="D196" s="1">
        <v>27143</v>
      </c>
      <c r="E196" t="s">
        <v>15</v>
      </c>
      <c r="F196" t="s">
        <v>30</v>
      </c>
      <c r="G196" t="s">
        <v>30</v>
      </c>
      <c r="H196" t="s">
        <v>107</v>
      </c>
      <c r="I196">
        <v>20</v>
      </c>
      <c r="J196">
        <v>509</v>
      </c>
      <c r="K196">
        <v>545.721</v>
      </c>
      <c r="L196" t="s">
        <v>22</v>
      </c>
      <c r="M196" t="str">
        <f t="shared" si="3"/>
        <v>1974-Q2</v>
      </c>
      <c r="N196" s="5">
        <f>INDEX(Sheet1!$B$2:$GX$9, MATCH(auscathist!L196, Sheet1!$A$2:$A$9, 0), MATCH(auscathist!M196, Sheet1!$B$1:$GX$1, 0))</f>
        <v>4768082.4215765949</v>
      </c>
    </row>
    <row r="197" spans="1:14">
      <c r="A197">
        <v>196</v>
      </c>
      <c r="B197">
        <v>1974</v>
      </c>
      <c r="C197">
        <v>1</v>
      </c>
      <c r="D197" s="1">
        <v>27101</v>
      </c>
      <c r="E197" t="s">
        <v>15</v>
      </c>
      <c r="F197" t="s">
        <v>207</v>
      </c>
      <c r="G197" t="s">
        <v>13</v>
      </c>
      <c r="H197" t="s">
        <v>208</v>
      </c>
      <c r="I197">
        <v>2</v>
      </c>
      <c r="J197">
        <v>171</v>
      </c>
      <c r="K197">
        <v>183.33699999999999</v>
      </c>
      <c r="L197" t="s">
        <v>16</v>
      </c>
      <c r="M197" t="str">
        <f t="shared" si="3"/>
        <v>1974-Q1</v>
      </c>
      <c r="N197" s="5">
        <f>INDEX(Sheet1!$B$2:$GX$9, MATCH(auscathist!L197, Sheet1!$A$2:$A$9, 0), MATCH(auscathist!M197, Sheet1!$B$1:$GX$1, 0))</f>
        <v>1828690.2284307119</v>
      </c>
    </row>
    <row r="198" spans="1:14">
      <c r="A198">
        <v>197</v>
      </c>
      <c r="B198">
        <v>1974</v>
      </c>
      <c r="C198">
        <v>1</v>
      </c>
      <c r="D198" s="1">
        <v>27054</v>
      </c>
      <c r="E198" t="s">
        <v>15</v>
      </c>
      <c r="F198" t="s">
        <v>209</v>
      </c>
      <c r="G198" t="s">
        <v>13</v>
      </c>
      <c r="H198" t="s">
        <v>57</v>
      </c>
      <c r="I198">
        <v>68</v>
      </c>
      <c r="J198">
        <v>2645</v>
      </c>
      <c r="K198">
        <v>2835.8220000000001</v>
      </c>
      <c r="L198" t="s">
        <v>16</v>
      </c>
      <c r="M198" t="str">
        <f t="shared" si="3"/>
        <v>1974-Q1</v>
      </c>
      <c r="N198" s="5">
        <f>INDEX(Sheet1!$B$2:$GX$9, MATCH(auscathist!L198, Sheet1!$A$2:$A$9, 0), MATCH(auscathist!M198, Sheet1!$B$1:$GX$1, 0))</f>
        <v>1828690.2284307119</v>
      </c>
    </row>
    <row r="199" spans="1:14">
      <c r="A199">
        <v>198</v>
      </c>
      <c r="B199">
        <v>1973</v>
      </c>
      <c r="C199">
        <v>1</v>
      </c>
      <c r="D199" s="1">
        <v>26727</v>
      </c>
      <c r="E199" t="s">
        <v>15</v>
      </c>
      <c r="F199" t="s">
        <v>210</v>
      </c>
      <c r="G199" t="s">
        <v>13</v>
      </c>
      <c r="H199" t="s">
        <v>211</v>
      </c>
      <c r="I199">
        <v>30</v>
      </c>
      <c r="J199">
        <v>1492</v>
      </c>
      <c r="K199">
        <v>1599.6389999999999</v>
      </c>
      <c r="L199" t="s">
        <v>20</v>
      </c>
      <c r="M199" t="str">
        <f t="shared" si="3"/>
        <v>1973-Q1</v>
      </c>
      <c r="N199" s="5">
        <f>INDEX(Sheet1!$B$2:$GX$9, MATCH(auscathist!L199, Sheet1!$A$2:$A$9, 0), MATCH(auscathist!M199, Sheet1!$B$1:$GX$1, 0))</f>
        <v>1040880.8778617645</v>
      </c>
    </row>
    <row r="200" spans="1:14">
      <c r="A200">
        <v>199</v>
      </c>
      <c r="B200">
        <v>1972</v>
      </c>
      <c r="C200">
        <v>1</v>
      </c>
      <c r="D200" s="1">
        <v>26340</v>
      </c>
      <c r="E200" t="s">
        <v>15</v>
      </c>
      <c r="F200" t="s">
        <v>212</v>
      </c>
      <c r="G200" t="s">
        <v>13</v>
      </c>
      <c r="H200" t="s">
        <v>213</v>
      </c>
      <c r="I200">
        <v>2</v>
      </c>
      <c r="J200">
        <v>116</v>
      </c>
      <c r="K200">
        <v>124.369</v>
      </c>
      <c r="L200" t="s">
        <v>16</v>
      </c>
      <c r="M200" t="str">
        <f t="shared" si="3"/>
        <v>1972-Q1</v>
      </c>
      <c r="N200" s="5">
        <f>INDEX(Sheet1!$B$2:$GX$9, MATCH(auscathist!L200, Sheet1!$A$2:$A$9, 0), MATCH(auscathist!M200, Sheet1!$B$1:$GX$1, 0))</f>
        <v>1707004.4152720517</v>
      </c>
    </row>
    <row r="201" spans="1:14">
      <c r="A201">
        <v>200</v>
      </c>
      <c r="B201">
        <v>1971</v>
      </c>
      <c r="C201">
        <v>4</v>
      </c>
      <c r="D201" s="1">
        <v>26291</v>
      </c>
      <c r="E201" t="s">
        <v>15</v>
      </c>
      <c r="F201" t="s">
        <v>214</v>
      </c>
      <c r="G201" t="s">
        <v>13</v>
      </c>
      <c r="H201" t="s">
        <v>135</v>
      </c>
      <c r="I201">
        <v>25</v>
      </c>
      <c r="J201">
        <v>648</v>
      </c>
      <c r="K201">
        <v>694.74900000000002</v>
      </c>
      <c r="L201" t="s">
        <v>16</v>
      </c>
      <c r="M201" t="str">
        <f t="shared" si="3"/>
        <v>1971-Q4</v>
      </c>
      <c r="N201" s="5">
        <f>INDEX(Sheet1!$B$2:$GX$9, MATCH(auscathist!L201, Sheet1!$A$2:$A$9, 0), MATCH(auscathist!M201, Sheet1!$B$1:$GX$1, 0))</f>
        <v>1692374.4377713501</v>
      </c>
    </row>
    <row r="202" spans="1:14">
      <c r="A202">
        <v>201</v>
      </c>
      <c r="B202">
        <v>1971</v>
      </c>
      <c r="C202">
        <v>1</v>
      </c>
      <c r="D202" s="1">
        <v>25965</v>
      </c>
      <c r="E202" t="s">
        <v>15</v>
      </c>
      <c r="F202" t="s">
        <v>30</v>
      </c>
      <c r="G202" t="s">
        <v>30</v>
      </c>
      <c r="H202" t="s">
        <v>215</v>
      </c>
      <c r="I202">
        <v>2</v>
      </c>
      <c r="J202">
        <v>53</v>
      </c>
      <c r="K202">
        <v>56.823999999999998</v>
      </c>
      <c r="L202" t="s">
        <v>32</v>
      </c>
      <c r="M202" t="str">
        <f t="shared" si="3"/>
        <v>1971-Q1</v>
      </c>
      <c r="N202" s="5">
        <f>INDEX(Sheet1!$B$2:$GX$9, MATCH(auscathist!L202, Sheet1!$A$2:$A$9, 0), MATCH(auscathist!M202, Sheet1!$B$1:$GX$1, 0))</f>
        <v>3519429.9676030311</v>
      </c>
    </row>
    <row r="203" spans="1:14">
      <c r="A203">
        <v>202</v>
      </c>
      <c r="B203">
        <v>1970</v>
      </c>
      <c r="C203">
        <v>3</v>
      </c>
      <c r="D203" s="1">
        <v>25812</v>
      </c>
      <c r="E203" t="s">
        <v>15</v>
      </c>
      <c r="F203" t="s">
        <v>30</v>
      </c>
      <c r="G203" t="s">
        <v>30</v>
      </c>
      <c r="H203" t="s">
        <v>216</v>
      </c>
      <c r="I203">
        <v>5</v>
      </c>
      <c r="J203">
        <v>157</v>
      </c>
      <c r="K203">
        <v>168.327</v>
      </c>
      <c r="M203" t="str">
        <f t="shared" si="3"/>
        <v>1970-Q3</v>
      </c>
      <c r="N203" s="5" t="e">
        <f>INDEX(Sheet1!$B$2:$GX$9, MATCH(auscathist!L203, Sheet1!$A$2:$A$9, 0), MATCH(auscathist!M203, Sheet1!$B$1:$GX$1, 0))</f>
        <v>#N/A</v>
      </c>
    </row>
    <row r="204" spans="1:14">
      <c r="A204">
        <v>203</v>
      </c>
      <c r="B204">
        <v>1970</v>
      </c>
      <c r="C204">
        <v>1</v>
      </c>
      <c r="D204" s="1">
        <v>25586</v>
      </c>
      <c r="E204" t="s">
        <v>15</v>
      </c>
      <c r="F204" t="s">
        <v>217</v>
      </c>
      <c r="G204" t="s">
        <v>13</v>
      </c>
      <c r="H204" t="s">
        <v>218</v>
      </c>
      <c r="I204">
        <v>12</v>
      </c>
      <c r="J204">
        <v>1001</v>
      </c>
      <c r="K204">
        <v>1073.2159999999999</v>
      </c>
      <c r="L204" t="s">
        <v>16</v>
      </c>
      <c r="M204" t="str">
        <f t="shared" si="3"/>
        <v>1970-Q1</v>
      </c>
      <c r="N204" s="5">
        <f>INDEX(Sheet1!$B$2:$GX$9, MATCH(auscathist!L204, Sheet1!$A$2:$A$9, 0), MATCH(auscathist!M204, Sheet1!$B$1:$GX$1, 0))</f>
        <v>1593415.8932203667</v>
      </c>
    </row>
    <row r="205" spans="1:14">
      <c r="A205">
        <v>204</v>
      </c>
      <c r="B205">
        <v>1968</v>
      </c>
      <c r="C205">
        <v>4</v>
      </c>
      <c r="D205" s="1">
        <v>25125</v>
      </c>
      <c r="E205" t="s">
        <v>15</v>
      </c>
      <c r="F205" t="s">
        <v>151</v>
      </c>
      <c r="G205" t="s">
        <v>151</v>
      </c>
      <c r="H205" t="s">
        <v>219</v>
      </c>
      <c r="I205">
        <v>1.5</v>
      </c>
      <c r="J205">
        <v>57</v>
      </c>
      <c r="K205">
        <v>61.112000000000002</v>
      </c>
      <c r="L205" t="s">
        <v>20</v>
      </c>
      <c r="M205" t="str">
        <f t="shared" si="3"/>
        <v>1968-Q4</v>
      </c>
      <c r="N205" s="5">
        <f>INDEX(Sheet1!$B$2:$GX$9, MATCH(auscathist!L205, Sheet1!$A$2:$A$9, 0), MATCH(auscathist!M205, Sheet1!$B$1:$GX$1, 0))</f>
        <v>927370.25968235871</v>
      </c>
    </row>
    <row r="206" spans="1:14">
      <c r="A206">
        <v>205</v>
      </c>
      <c r="B206">
        <v>1967</v>
      </c>
      <c r="C206">
        <v>4</v>
      </c>
      <c r="D206" s="1">
        <v>24825</v>
      </c>
      <c r="E206" t="s">
        <v>15</v>
      </c>
      <c r="F206" t="s">
        <v>79</v>
      </c>
      <c r="G206" t="s">
        <v>68</v>
      </c>
      <c r="H206" t="s">
        <v>57</v>
      </c>
      <c r="I206">
        <v>5</v>
      </c>
      <c r="J206">
        <v>396</v>
      </c>
      <c r="K206">
        <v>424.56900000000002</v>
      </c>
      <c r="L206" t="s">
        <v>16</v>
      </c>
      <c r="M206" t="str">
        <f t="shared" si="3"/>
        <v>1967-Q4</v>
      </c>
      <c r="N206" s="5">
        <f>INDEX(Sheet1!$B$2:$GX$9, MATCH(auscathist!L206, Sheet1!$A$2:$A$9, 0), MATCH(auscathist!M206, Sheet1!$B$1:$GX$1, 0))</f>
        <v>1474638.1232314473</v>
      </c>
    </row>
    <row r="207" spans="1:14">
      <c r="A207">
        <v>206</v>
      </c>
      <c r="B207">
        <v>1967</v>
      </c>
      <c r="C207">
        <v>1</v>
      </c>
      <c r="D207" s="1">
        <v>24511</v>
      </c>
      <c r="E207" t="s">
        <v>15</v>
      </c>
      <c r="F207" t="s">
        <v>18</v>
      </c>
      <c r="G207" t="s">
        <v>18</v>
      </c>
      <c r="H207" t="s">
        <v>220</v>
      </c>
      <c r="I207">
        <v>14</v>
      </c>
      <c r="J207">
        <v>610</v>
      </c>
      <c r="K207">
        <v>654.00800000000004</v>
      </c>
      <c r="L207" t="s">
        <v>28</v>
      </c>
      <c r="M207" t="str">
        <f t="shared" si="3"/>
        <v>1967-Q1</v>
      </c>
      <c r="N207" s="5">
        <f>INDEX(Sheet1!$B$2:$GX$9, MATCH(auscathist!L207, Sheet1!$A$2:$A$9, 0), MATCH(auscathist!M207, Sheet1!$B$1:$GX$1, 0))</f>
        <v>407664.98041158641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01219-443B-4D1F-A589-5FCD3A3D14D8}">
  <dimension ref="A1:GX12"/>
  <sheetViews>
    <sheetView workbookViewId="0">
      <selection activeCell="G4" sqref="G4"/>
    </sheetView>
  </sheetViews>
  <sheetFormatPr defaultRowHeight="14.45"/>
  <cols>
    <col min="1" max="1" width="26.85546875" bestFit="1" customWidth="1"/>
  </cols>
  <sheetData>
    <row r="1" spans="1:206">
      <c r="B1" s="2" t="str">
        <f t="shared" ref="B1:AG1" si="0">B12&amp;"-"&amp;B11</f>
        <v>1964-Q1</v>
      </c>
      <c r="C1" s="2" t="str">
        <f t="shared" si="0"/>
        <v>1964-Q2</v>
      </c>
      <c r="D1" s="2" t="str">
        <f t="shared" si="0"/>
        <v>1964-Q3</v>
      </c>
      <c r="E1" s="2" t="str">
        <f t="shared" si="0"/>
        <v>1964-Q4</v>
      </c>
      <c r="F1" s="2" t="str">
        <f t="shared" si="0"/>
        <v>1965-Q1</v>
      </c>
      <c r="G1" s="2" t="str">
        <f t="shared" si="0"/>
        <v>1965-Q2</v>
      </c>
      <c r="H1" s="2" t="str">
        <f t="shared" si="0"/>
        <v>1965-Q3</v>
      </c>
      <c r="I1" s="2" t="str">
        <f t="shared" si="0"/>
        <v>1965-Q4</v>
      </c>
      <c r="J1" s="2" t="str">
        <f t="shared" si="0"/>
        <v>1966-Q1</v>
      </c>
      <c r="K1" s="2" t="str">
        <f t="shared" si="0"/>
        <v>1966-Q2</v>
      </c>
      <c r="L1" s="2" t="str">
        <f t="shared" si="0"/>
        <v>1966-Q3</v>
      </c>
      <c r="M1" s="2" t="str">
        <f t="shared" si="0"/>
        <v>1966-Q4</v>
      </c>
      <c r="N1" s="2" t="str">
        <f t="shared" si="0"/>
        <v>1967-Q1</v>
      </c>
      <c r="O1" s="2" t="str">
        <f t="shared" si="0"/>
        <v>1967-Q2</v>
      </c>
      <c r="P1" s="2" t="str">
        <f t="shared" si="0"/>
        <v>1967-Q3</v>
      </c>
      <c r="Q1" s="2" t="str">
        <f t="shared" si="0"/>
        <v>1967-Q4</v>
      </c>
      <c r="R1" s="2" t="str">
        <f t="shared" si="0"/>
        <v>1968-Q1</v>
      </c>
      <c r="S1" s="2" t="str">
        <f t="shared" si="0"/>
        <v>1968-Q2</v>
      </c>
      <c r="T1" s="2" t="str">
        <f t="shared" si="0"/>
        <v>1968-Q3</v>
      </c>
      <c r="U1" s="2" t="str">
        <f t="shared" si="0"/>
        <v>1968-Q4</v>
      </c>
      <c r="V1" s="2" t="str">
        <f t="shared" si="0"/>
        <v>1969-Q1</v>
      </c>
      <c r="W1" s="2" t="str">
        <f t="shared" si="0"/>
        <v>1969-Q2</v>
      </c>
      <c r="X1" s="2" t="str">
        <f t="shared" si="0"/>
        <v>1969-Q3</v>
      </c>
      <c r="Y1" s="2" t="str">
        <f t="shared" si="0"/>
        <v>1969-Q4</v>
      </c>
      <c r="Z1" s="2" t="str">
        <f t="shared" si="0"/>
        <v>1970-Q1</v>
      </c>
      <c r="AA1" s="2" t="str">
        <f t="shared" si="0"/>
        <v>1970-Q2</v>
      </c>
      <c r="AB1" s="2" t="str">
        <f t="shared" si="0"/>
        <v>1970-Q3</v>
      </c>
      <c r="AC1" s="2" t="str">
        <f t="shared" si="0"/>
        <v>1970-Q4</v>
      </c>
      <c r="AD1" s="2" t="str">
        <f t="shared" si="0"/>
        <v>1971-Q1</v>
      </c>
      <c r="AE1" s="2" t="str">
        <f t="shared" si="0"/>
        <v>1971-Q2</v>
      </c>
      <c r="AF1" s="2" t="str">
        <f t="shared" si="0"/>
        <v>1971-Q3</v>
      </c>
      <c r="AG1" s="2" t="str">
        <f t="shared" si="0"/>
        <v>1971-Q4</v>
      </c>
      <c r="AH1" s="2" t="str">
        <f t="shared" ref="AH1:BQ1" si="1">AH12&amp;"-"&amp;AH11</f>
        <v>1972-Q1</v>
      </c>
      <c r="AI1" s="2" t="str">
        <f t="shared" si="1"/>
        <v>1972-Q2</v>
      </c>
      <c r="AJ1" s="2" t="str">
        <f t="shared" si="1"/>
        <v>1972-Q3</v>
      </c>
      <c r="AK1" s="2" t="str">
        <f t="shared" si="1"/>
        <v>1972-Q4</v>
      </c>
      <c r="AL1" s="2" t="str">
        <f t="shared" si="1"/>
        <v>1973-Q1</v>
      </c>
      <c r="AM1" s="2" t="str">
        <f t="shared" si="1"/>
        <v>1973-Q2</v>
      </c>
      <c r="AN1" s="2" t="str">
        <f t="shared" si="1"/>
        <v>1973-Q3</v>
      </c>
      <c r="AO1" s="2" t="str">
        <f t="shared" si="1"/>
        <v>1973-Q4</v>
      </c>
      <c r="AP1" s="2" t="str">
        <f t="shared" si="1"/>
        <v>1974-Q1</v>
      </c>
      <c r="AQ1" s="2" t="str">
        <f t="shared" si="1"/>
        <v>1974-Q2</v>
      </c>
      <c r="AR1" s="2" t="str">
        <f t="shared" si="1"/>
        <v>1974-Q3</v>
      </c>
      <c r="AS1" s="2" t="str">
        <f t="shared" si="1"/>
        <v>1974-Q4</v>
      </c>
      <c r="AT1" s="2" t="str">
        <f t="shared" si="1"/>
        <v>1975-Q1</v>
      </c>
      <c r="AU1" s="2" t="str">
        <f t="shared" si="1"/>
        <v>1975-Q2</v>
      </c>
      <c r="AV1" s="2" t="str">
        <f t="shared" si="1"/>
        <v>1975-Q3</v>
      </c>
      <c r="AW1" s="2" t="str">
        <f t="shared" si="1"/>
        <v>1975-Q4</v>
      </c>
      <c r="AX1" s="2" t="str">
        <f t="shared" si="1"/>
        <v>1976-Q1</v>
      </c>
      <c r="AY1" s="2" t="str">
        <f t="shared" si="1"/>
        <v>1976-Q2</v>
      </c>
      <c r="AZ1" s="2" t="str">
        <f t="shared" si="1"/>
        <v>1976-Q3</v>
      </c>
      <c r="BA1" s="2" t="str">
        <f t="shared" si="1"/>
        <v>1976-Q4</v>
      </c>
      <c r="BB1" s="2" t="str">
        <f t="shared" si="1"/>
        <v>1977-Q1</v>
      </c>
      <c r="BC1" s="2" t="str">
        <f t="shared" si="1"/>
        <v>1977-Q2</v>
      </c>
      <c r="BD1" s="2" t="str">
        <f t="shared" si="1"/>
        <v>1977-Q3</v>
      </c>
      <c r="BE1" s="2" t="str">
        <f t="shared" si="1"/>
        <v>1977-Q4</v>
      </c>
      <c r="BF1" s="2" t="str">
        <f t="shared" si="1"/>
        <v>1978-Q1</v>
      </c>
      <c r="BG1" s="2" t="str">
        <f t="shared" si="1"/>
        <v>1978-Q2</v>
      </c>
      <c r="BH1" s="2" t="str">
        <f t="shared" si="1"/>
        <v>1978-Q3</v>
      </c>
      <c r="BI1" s="2" t="str">
        <f t="shared" si="1"/>
        <v>1978-Q4</v>
      </c>
      <c r="BJ1" s="2" t="str">
        <f t="shared" si="1"/>
        <v>1979-Q1</v>
      </c>
      <c r="BK1" s="2" t="str">
        <f t="shared" si="1"/>
        <v>1979-Q2</v>
      </c>
      <c r="BL1" s="2" t="str">
        <f t="shared" si="1"/>
        <v>1979-Q3</v>
      </c>
      <c r="BM1" s="2" t="str">
        <f t="shared" si="1"/>
        <v>1979-Q4</v>
      </c>
      <c r="BN1" s="2" t="str">
        <f t="shared" si="1"/>
        <v>1980-Q1</v>
      </c>
      <c r="BO1" s="2" t="str">
        <f t="shared" si="1"/>
        <v>1980-Q2</v>
      </c>
      <c r="BP1" s="2" t="str">
        <f t="shared" si="1"/>
        <v>1980-Q3</v>
      </c>
      <c r="BQ1" s="2" t="str">
        <f t="shared" si="1"/>
        <v>1980-Q4</v>
      </c>
      <c r="BR1" s="2" t="s">
        <v>221</v>
      </c>
      <c r="BS1" s="2" t="s">
        <v>222</v>
      </c>
      <c r="BT1" s="2" t="s">
        <v>223</v>
      </c>
      <c r="BU1" s="2" t="s">
        <v>224</v>
      </c>
      <c r="BV1" s="2" t="s">
        <v>225</v>
      </c>
      <c r="BW1" s="2" t="s">
        <v>226</v>
      </c>
      <c r="BX1" s="2" t="s">
        <v>227</v>
      </c>
      <c r="BY1" s="2" t="s">
        <v>228</v>
      </c>
      <c r="BZ1" s="2" t="s">
        <v>229</v>
      </c>
      <c r="CA1" s="2" t="s">
        <v>230</v>
      </c>
      <c r="CB1" s="2" t="s">
        <v>231</v>
      </c>
      <c r="CC1" s="2" t="s">
        <v>232</v>
      </c>
      <c r="CD1" s="2" t="s">
        <v>233</v>
      </c>
      <c r="CE1" s="2" t="s">
        <v>234</v>
      </c>
      <c r="CF1" s="2" t="s">
        <v>235</v>
      </c>
      <c r="CG1" s="2" t="s">
        <v>236</v>
      </c>
      <c r="CH1" s="2" t="s">
        <v>237</v>
      </c>
      <c r="CI1" s="2" t="s">
        <v>238</v>
      </c>
      <c r="CJ1" s="2" t="s">
        <v>239</v>
      </c>
      <c r="CK1" s="2" t="s">
        <v>240</v>
      </c>
      <c r="CL1" s="2" t="s">
        <v>241</v>
      </c>
      <c r="CM1" s="2" t="s">
        <v>242</v>
      </c>
      <c r="CN1" s="2" t="s">
        <v>243</v>
      </c>
      <c r="CO1" s="2" t="s">
        <v>244</v>
      </c>
      <c r="CP1" s="2" t="s">
        <v>245</v>
      </c>
      <c r="CQ1" s="2" t="s">
        <v>246</v>
      </c>
      <c r="CR1" s="2" t="s">
        <v>247</v>
      </c>
      <c r="CS1" s="2" t="s">
        <v>248</v>
      </c>
      <c r="CT1" s="2" t="s">
        <v>249</v>
      </c>
      <c r="CU1" s="2" t="s">
        <v>250</v>
      </c>
      <c r="CV1" s="2" t="s">
        <v>251</v>
      </c>
      <c r="CW1" s="2" t="s">
        <v>252</v>
      </c>
      <c r="CX1" s="2" t="s">
        <v>253</v>
      </c>
      <c r="CY1" s="2" t="s">
        <v>254</v>
      </c>
      <c r="CZ1" s="2" t="s">
        <v>255</v>
      </c>
      <c r="DA1" s="2" t="s">
        <v>256</v>
      </c>
      <c r="DB1" s="2" t="s">
        <v>257</v>
      </c>
      <c r="DC1" s="2" t="s">
        <v>258</v>
      </c>
      <c r="DD1" s="2" t="s">
        <v>259</v>
      </c>
      <c r="DE1" s="2" t="s">
        <v>260</v>
      </c>
      <c r="DF1" s="2" t="s">
        <v>261</v>
      </c>
      <c r="DG1" s="2" t="s">
        <v>262</v>
      </c>
      <c r="DH1" s="2" t="s">
        <v>263</v>
      </c>
      <c r="DI1" s="2" t="s">
        <v>264</v>
      </c>
      <c r="DJ1" s="2" t="s">
        <v>265</v>
      </c>
      <c r="DK1" s="2" t="s">
        <v>266</v>
      </c>
      <c r="DL1" s="2" t="s">
        <v>267</v>
      </c>
      <c r="DM1" s="2" t="s">
        <v>268</v>
      </c>
      <c r="DN1" s="2" t="s">
        <v>269</v>
      </c>
      <c r="DO1" s="2" t="s">
        <v>270</v>
      </c>
      <c r="DP1" s="2" t="s">
        <v>271</v>
      </c>
      <c r="DQ1" s="2" t="s">
        <v>272</v>
      </c>
      <c r="DR1" s="2" t="s">
        <v>273</v>
      </c>
      <c r="DS1" s="2" t="s">
        <v>274</v>
      </c>
      <c r="DT1" s="2" t="s">
        <v>275</v>
      </c>
      <c r="DU1" s="2" t="s">
        <v>276</v>
      </c>
      <c r="DV1" s="2" t="s">
        <v>277</v>
      </c>
      <c r="DW1" s="2" t="s">
        <v>278</v>
      </c>
      <c r="DX1" s="2" t="s">
        <v>279</v>
      </c>
      <c r="DY1" s="2" t="s">
        <v>280</v>
      </c>
      <c r="DZ1" s="2" t="s">
        <v>281</v>
      </c>
      <c r="EA1" s="2" t="s">
        <v>282</v>
      </c>
      <c r="EB1" s="2" t="s">
        <v>283</v>
      </c>
      <c r="EC1" s="2" t="s">
        <v>284</v>
      </c>
      <c r="ED1" s="2" t="s">
        <v>285</v>
      </c>
      <c r="EE1" s="2" t="s">
        <v>286</v>
      </c>
      <c r="EF1" s="2" t="s">
        <v>287</v>
      </c>
      <c r="EG1" s="2" t="s">
        <v>288</v>
      </c>
      <c r="EH1" s="2" t="s">
        <v>289</v>
      </c>
      <c r="EI1" s="2" t="s">
        <v>290</v>
      </c>
      <c r="EJ1" s="2" t="s">
        <v>291</v>
      </c>
      <c r="EK1" s="2" t="s">
        <v>292</v>
      </c>
      <c r="EL1" s="2" t="s">
        <v>293</v>
      </c>
      <c r="EM1" s="2" t="s">
        <v>294</v>
      </c>
      <c r="EN1" s="2" t="s">
        <v>295</v>
      </c>
      <c r="EO1" s="2" t="s">
        <v>296</v>
      </c>
      <c r="EP1" s="2" t="s">
        <v>297</v>
      </c>
      <c r="EQ1" s="2" t="s">
        <v>298</v>
      </c>
      <c r="ER1" s="2" t="s">
        <v>299</v>
      </c>
      <c r="ES1" s="2" t="s">
        <v>300</v>
      </c>
      <c r="ET1" s="2" t="s">
        <v>301</v>
      </c>
      <c r="EU1" s="2" t="s">
        <v>302</v>
      </c>
      <c r="EV1" s="2" t="s">
        <v>303</v>
      </c>
      <c r="EW1" s="2" t="s">
        <v>304</v>
      </c>
      <c r="EX1" s="2" t="s">
        <v>305</v>
      </c>
      <c r="EY1" s="2" t="s">
        <v>306</v>
      </c>
      <c r="EZ1" s="2" t="s">
        <v>307</v>
      </c>
      <c r="FA1" s="2" t="s">
        <v>308</v>
      </c>
      <c r="FB1" s="2" t="s">
        <v>309</v>
      </c>
      <c r="FC1" s="2" t="s">
        <v>310</v>
      </c>
      <c r="FD1" s="2" t="s">
        <v>311</v>
      </c>
      <c r="FE1" s="2" t="s">
        <v>312</v>
      </c>
      <c r="FF1" s="2" t="s">
        <v>313</v>
      </c>
      <c r="FG1" s="2" t="s">
        <v>314</v>
      </c>
      <c r="FH1" s="2" t="s">
        <v>315</v>
      </c>
      <c r="FI1" s="2" t="s">
        <v>316</v>
      </c>
      <c r="FJ1" s="2" t="s">
        <v>317</v>
      </c>
      <c r="FK1" s="2" t="s">
        <v>318</v>
      </c>
      <c r="FL1" s="2" t="s">
        <v>319</v>
      </c>
      <c r="FM1" s="2" t="s">
        <v>320</v>
      </c>
      <c r="FN1" s="2" t="s">
        <v>321</v>
      </c>
      <c r="FO1" s="2" t="s">
        <v>322</v>
      </c>
      <c r="FP1" s="2" t="s">
        <v>323</v>
      </c>
      <c r="FQ1" s="2" t="s">
        <v>324</v>
      </c>
      <c r="FR1" s="2" t="s">
        <v>325</v>
      </c>
      <c r="FS1" s="2" t="s">
        <v>326</v>
      </c>
      <c r="FT1" s="2" t="s">
        <v>327</v>
      </c>
      <c r="FU1" s="2" t="s">
        <v>328</v>
      </c>
      <c r="FV1" s="2" t="s">
        <v>329</v>
      </c>
      <c r="FW1" s="2" t="s">
        <v>330</v>
      </c>
      <c r="FX1" s="2" t="s">
        <v>331</v>
      </c>
      <c r="FY1" s="2" t="s">
        <v>332</v>
      </c>
      <c r="FZ1" s="2" t="s">
        <v>333</v>
      </c>
      <c r="GA1" s="2" t="s">
        <v>334</v>
      </c>
      <c r="GB1" s="2" t="s">
        <v>335</v>
      </c>
      <c r="GC1" s="2" t="s">
        <v>336</v>
      </c>
      <c r="GD1" s="2" t="s">
        <v>337</v>
      </c>
      <c r="GE1" s="2" t="s">
        <v>338</v>
      </c>
      <c r="GF1" s="2" t="s">
        <v>339</v>
      </c>
      <c r="GG1" s="2" t="s">
        <v>340</v>
      </c>
      <c r="GH1" s="2" t="s">
        <v>341</v>
      </c>
      <c r="GI1" s="2" t="s">
        <v>342</v>
      </c>
      <c r="GJ1" s="2" t="s">
        <v>343</v>
      </c>
      <c r="GK1" s="2" t="s">
        <v>344</v>
      </c>
      <c r="GL1" s="2" t="s">
        <v>345</v>
      </c>
      <c r="GM1" s="2" t="s">
        <v>346</v>
      </c>
      <c r="GN1" s="2" t="s">
        <v>347</v>
      </c>
      <c r="GO1" s="2" t="s">
        <v>348</v>
      </c>
      <c r="GP1" s="2" t="s">
        <v>349</v>
      </c>
      <c r="GQ1" s="2" t="s">
        <v>350</v>
      </c>
      <c r="GR1" s="2" t="s">
        <v>351</v>
      </c>
      <c r="GS1" s="2" t="s">
        <v>352</v>
      </c>
      <c r="GT1" s="2" t="s">
        <v>353</v>
      </c>
      <c r="GU1" s="2" t="s">
        <v>354</v>
      </c>
      <c r="GV1" s="2" t="s">
        <v>355</v>
      </c>
      <c r="GW1" s="2" t="s">
        <v>356</v>
      </c>
      <c r="GX1" s="2" t="s">
        <v>357</v>
      </c>
    </row>
    <row r="2" spans="1:206">
      <c r="A2" s="3" t="s">
        <v>22</v>
      </c>
      <c r="B2" s="4">
        <f t="shared" ref="B2:BM2" si="2">C2/(1+((D2/C2)-1))</f>
        <v>4161874.3210880822</v>
      </c>
      <c r="C2" s="4">
        <f t="shared" si="2"/>
        <v>4175700.3137455019</v>
      </c>
      <c r="D2" s="4">
        <f t="shared" si="2"/>
        <v>4189572.2371682967</v>
      </c>
      <c r="E2" s="4">
        <f t="shared" si="2"/>
        <v>4203490.243941186</v>
      </c>
      <c r="F2" s="4">
        <f t="shared" si="2"/>
        <v>4217454.4871557849</v>
      </c>
      <c r="G2" s="4">
        <f t="shared" si="2"/>
        <v>4231465.1204122864</v>
      </c>
      <c r="H2" s="4">
        <f t="shared" si="2"/>
        <v>4245522.2978211548</v>
      </c>
      <c r="I2" s="4">
        <f t="shared" si="2"/>
        <v>4259626.1740048165</v>
      </c>
      <c r="J2" s="4">
        <f t="shared" si="2"/>
        <v>4273776.9040993629</v>
      </c>
      <c r="K2" s="4">
        <f t="shared" si="2"/>
        <v>4287974.6437562583</v>
      </c>
      <c r="L2" s="4">
        <f t="shared" si="2"/>
        <v>4302219.5491440492</v>
      </c>
      <c r="M2" s="4">
        <f t="shared" si="2"/>
        <v>4316511.7769500827</v>
      </c>
      <c r="N2" s="4">
        <f t="shared" si="2"/>
        <v>4330851.4843822317</v>
      </c>
      <c r="O2" s="4">
        <f t="shared" si="2"/>
        <v>4345238.8291706219</v>
      </c>
      <c r="P2" s="4">
        <f t="shared" si="2"/>
        <v>4359673.9695693692</v>
      </c>
      <c r="Q2" s="4">
        <f t="shared" si="2"/>
        <v>4374157.0643583173</v>
      </c>
      <c r="R2" s="4">
        <f t="shared" si="2"/>
        <v>4388688.2728447877</v>
      </c>
      <c r="S2" s="4">
        <f t="shared" si="2"/>
        <v>4403267.7548653288</v>
      </c>
      <c r="T2" s="4">
        <f t="shared" si="2"/>
        <v>4417895.670787476</v>
      </c>
      <c r="U2" s="4">
        <f t="shared" si="2"/>
        <v>4432572.1815115158</v>
      </c>
      <c r="V2" s="4">
        <f t="shared" si="2"/>
        <v>4447297.448472253</v>
      </c>
      <c r="W2" s="4">
        <f t="shared" si="2"/>
        <v>4462071.6336407913</v>
      </c>
      <c r="X2" s="4">
        <f t="shared" si="2"/>
        <v>4476894.8995263092</v>
      </c>
      <c r="Y2" s="4">
        <f t="shared" si="2"/>
        <v>4491767.4091778519</v>
      </c>
      <c r="Z2" s="4">
        <f t="shared" si="2"/>
        <v>4506689.3261861224</v>
      </c>
      <c r="AA2" s="4">
        <f t="shared" si="2"/>
        <v>4521660.8146852823</v>
      </c>
      <c r="AB2" s="4">
        <f t="shared" si="2"/>
        <v>4536682.0393547565</v>
      </c>
      <c r="AC2" s="4">
        <f t="shared" si="2"/>
        <v>4551753.1654210445</v>
      </c>
      <c r="AD2" s="4">
        <f t="shared" si="2"/>
        <v>4566874.3586595384</v>
      </c>
      <c r="AE2" s="4">
        <f t="shared" si="2"/>
        <v>4582045.785396345</v>
      </c>
      <c r="AF2" s="4">
        <f t="shared" si="2"/>
        <v>4597267.6125101168</v>
      </c>
      <c r="AG2" s="4">
        <f t="shared" si="2"/>
        <v>4612540.0074338876</v>
      </c>
      <c r="AH2" s="4">
        <f t="shared" si="2"/>
        <v>4627863.1381569132</v>
      </c>
      <c r="AI2" s="4">
        <f t="shared" si="2"/>
        <v>4643237.1732265195</v>
      </c>
      <c r="AJ2" s="4">
        <f t="shared" si="2"/>
        <v>4658662.2817499563</v>
      </c>
      <c r="AK2" s="4">
        <f t="shared" si="2"/>
        <v>4674138.6333962576</v>
      </c>
      <c r="AL2" s="4">
        <f t="shared" si="2"/>
        <v>4689666.3983981097</v>
      </c>
      <c r="AM2" s="4">
        <f t="shared" si="2"/>
        <v>4705245.7475537201</v>
      </c>
      <c r="AN2" s="4">
        <f t="shared" si="2"/>
        <v>4720876.8522286983</v>
      </c>
      <c r="AO2" s="4">
        <f t="shared" si="2"/>
        <v>4736559.8843579413</v>
      </c>
      <c r="AP2" s="4">
        <f t="shared" si="2"/>
        <v>4752295.0164475236</v>
      </c>
      <c r="AQ2" s="4">
        <f t="shared" si="2"/>
        <v>4768082.4215765949</v>
      </c>
      <c r="AR2" s="4">
        <f t="shared" si="2"/>
        <v>4783922.2733992841</v>
      </c>
      <c r="AS2" s="4">
        <f t="shared" si="2"/>
        <v>4799814.7461466091</v>
      </c>
      <c r="AT2" s="4">
        <f t="shared" si="2"/>
        <v>4815760.0146283945</v>
      </c>
      <c r="AU2" s="4">
        <f t="shared" si="2"/>
        <v>4831758.2542351922</v>
      </c>
      <c r="AV2" s="4">
        <f t="shared" si="2"/>
        <v>4847809.6409402136</v>
      </c>
      <c r="AW2" s="4">
        <f t="shared" si="2"/>
        <v>4863914.3513012612</v>
      </c>
      <c r="AX2" s="4">
        <f t="shared" si="2"/>
        <v>4880072.5624626754</v>
      </c>
      <c r="AY2" s="4">
        <f t="shared" si="2"/>
        <v>4896284.4521572795</v>
      </c>
      <c r="AZ2" s="4">
        <f t="shared" si="2"/>
        <v>4912550.1987083349</v>
      </c>
      <c r="BA2" s="4">
        <f t="shared" si="2"/>
        <v>4928869.9810315045</v>
      </c>
      <c r="BB2" s="4">
        <f t="shared" si="2"/>
        <v>4945243.9786368189</v>
      </c>
      <c r="BC2" s="4">
        <f t="shared" si="2"/>
        <v>4961672.3716306528</v>
      </c>
      <c r="BD2" s="4">
        <f t="shared" si="2"/>
        <v>4978155.340717704</v>
      </c>
      <c r="BE2" s="4">
        <f t="shared" si="2"/>
        <v>4994693.0672029825</v>
      </c>
      <c r="BF2" s="4">
        <f t="shared" si="2"/>
        <v>5011285.732993803</v>
      </c>
      <c r="BG2" s="4">
        <f t="shared" si="2"/>
        <v>5027933.5206017885</v>
      </c>
      <c r="BH2" s="4">
        <f t="shared" si="2"/>
        <v>5044636.6131448764</v>
      </c>
      <c r="BI2" s="4">
        <f t="shared" si="2"/>
        <v>5061395.1943493318</v>
      </c>
      <c r="BJ2" s="4">
        <f t="shared" si="2"/>
        <v>5078209.4485517694</v>
      </c>
      <c r="BK2" s="4">
        <f t="shared" si="2"/>
        <v>5095079.5607011821</v>
      </c>
      <c r="BL2" s="4">
        <f t="shared" si="2"/>
        <v>5112005.7163609732</v>
      </c>
      <c r="BM2" s="4">
        <f t="shared" si="2"/>
        <v>5128988.1017109985</v>
      </c>
      <c r="BN2" s="4">
        <f t="shared" ref="BN2:BR2" si="3">BO2/(1+((BP2/BO2)-1))</f>
        <v>5146026.9035496153</v>
      </c>
      <c r="BO2" s="4">
        <f t="shared" si="3"/>
        <v>5163122.3092957353</v>
      </c>
      <c r="BP2" s="4">
        <f t="shared" si="3"/>
        <v>5180274.5069908882</v>
      </c>
      <c r="BQ2" s="4">
        <f t="shared" si="3"/>
        <v>5197483.6853012871</v>
      </c>
      <c r="BR2" s="4">
        <f t="shared" si="3"/>
        <v>5214750.033519906</v>
      </c>
      <c r="BS2" s="4">
        <f>BT2/(1+((BU2/BT2)-1))</f>
        <v>5232073.7415685607</v>
      </c>
      <c r="BT2" s="4">
        <v>5249455</v>
      </c>
      <c r="BU2" s="4">
        <v>5266894</v>
      </c>
      <c r="BV2" s="4">
        <v>5286119</v>
      </c>
      <c r="BW2" s="4">
        <v>5303580</v>
      </c>
      <c r="BX2" s="4">
        <v>5315846</v>
      </c>
      <c r="BY2" s="4">
        <v>5328221</v>
      </c>
      <c r="BZ2" s="4">
        <v>5344027</v>
      </c>
      <c r="CA2" s="4">
        <v>5352959</v>
      </c>
      <c r="CB2" s="4">
        <v>5363744</v>
      </c>
      <c r="CC2" s="4">
        <v>5374915</v>
      </c>
      <c r="CD2" s="4">
        <v>5389180</v>
      </c>
      <c r="CE2" s="4">
        <v>5402729</v>
      </c>
      <c r="CF2" s="4">
        <v>5416536</v>
      </c>
      <c r="CG2" s="4">
        <v>5431752</v>
      </c>
      <c r="CH2" s="4">
        <v>5451549</v>
      </c>
      <c r="CI2" s="4">
        <v>5464512</v>
      </c>
      <c r="CJ2" s="4">
        <v>5478254</v>
      </c>
      <c r="CK2" s="4">
        <v>5496467</v>
      </c>
      <c r="CL2" s="4">
        <v>5516377</v>
      </c>
      <c r="CM2" s="4">
        <v>5531526</v>
      </c>
      <c r="CN2" s="4">
        <v>5549928</v>
      </c>
      <c r="CO2" s="4">
        <v>5574251</v>
      </c>
      <c r="CP2" s="4">
        <v>5596207</v>
      </c>
      <c r="CQ2" s="4">
        <v>5616736</v>
      </c>
      <c r="CR2" s="4">
        <v>5639899</v>
      </c>
      <c r="CS2" s="4">
        <v>5666219</v>
      </c>
      <c r="CT2" s="4">
        <v>5689397</v>
      </c>
      <c r="CU2" s="4">
        <v>5707309</v>
      </c>
      <c r="CV2" s="4">
        <v>5730331</v>
      </c>
      <c r="CW2" s="4">
        <v>5752254</v>
      </c>
      <c r="CX2" s="4">
        <v>5769720</v>
      </c>
      <c r="CY2" s="4">
        <v>5776283</v>
      </c>
      <c r="CZ2" s="4">
        <v>5785625</v>
      </c>
      <c r="DA2" s="4">
        <v>5803079</v>
      </c>
      <c r="DB2" s="4">
        <v>5818151</v>
      </c>
      <c r="DC2" s="4">
        <v>5834021</v>
      </c>
      <c r="DD2" s="4">
        <v>5849534</v>
      </c>
      <c r="DE2" s="4">
        <v>5862497</v>
      </c>
      <c r="DF2" s="4">
        <v>5883248</v>
      </c>
      <c r="DG2" s="4">
        <v>5898731</v>
      </c>
      <c r="DH2" s="4">
        <v>5916714</v>
      </c>
      <c r="DI2" s="4">
        <v>5928072</v>
      </c>
      <c r="DJ2" s="4">
        <v>5946386</v>
      </c>
      <c r="DK2" s="4">
        <v>5957822</v>
      </c>
      <c r="DL2" s="4">
        <v>5970754</v>
      </c>
      <c r="DM2" s="4">
        <v>5977823</v>
      </c>
      <c r="DN2" s="4">
        <v>5990424</v>
      </c>
      <c r="DO2" s="4">
        <v>5995055</v>
      </c>
      <c r="DP2" s="4">
        <v>6009659</v>
      </c>
      <c r="DQ2" s="4">
        <v>6020171</v>
      </c>
      <c r="DR2" s="4">
        <v>6037096</v>
      </c>
      <c r="DS2" s="4">
        <v>6044819</v>
      </c>
      <c r="DT2" s="4">
        <v>6063058</v>
      </c>
      <c r="DU2" s="4">
        <v>6071872</v>
      </c>
      <c r="DV2" s="4">
        <v>6087910</v>
      </c>
      <c r="DW2" s="4">
        <v>6105560</v>
      </c>
      <c r="DX2" s="4">
        <v>6124648</v>
      </c>
      <c r="DY2" s="4">
        <v>6143971</v>
      </c>
      <c r="DZ2" s="4">
        <v>6159806</v>
      </c>
      <c r="EA2" s="4">
        <v>6176461</v>
      </c>
      <c r="EB2" s="4">
        <v>6196251</v>
      </c>
      <c r="EC2" s="4">
        <v>6214548</v>
      </c>
      <c r="ED2" s="4">
        <v>6234303</v>
      </c>
      <c r="EE2" s="4">
        <v>6246267</v>
      </c>
      <c r="EF2" s="4">
        <v>6260867</v>
      </c>
      <c r="EG2" s="4">
        <v>6274966</v>
      </c>
      <c r="EH2" s="4">
        <v>6295260</v>
      </c>
      <c r="EI2" s="4">
        <v>6305799</v>
      </c>
      <c r="EJ2" s="4">
        <v>6324111</v>
      </c>
      <c r="EK2" s="4">
        <v>6338790</v>
      </c>
      <c r="EL2" s="4">
        <v>6360552</v>
      </c>
      <c r="EM2" s="4">
        <v>6375103</v>
      </c>
      <c r="EN2" s="4">
        <v>6393100</v>
      </c>
      <c r="EO2" s="4">
        <v>6409971</v>
      </c>
      <c r="EP2" s="4">
        <v>6431826</v>
      </c>
      <c r="EQ2" s="4">
        <v>6446558</v>
      </c>
      <c r="ER2" s="4">
        <v>6465614</v>
      </c>
      <c r="ES2" s="4">
        <v>6485081</v>
      </c>
      <c r="ET2" s="4">
        <v>6513844</v>
      </c>
      <c r="EU2" s="4">
        <v>6530349</v>
      </c>
      <c r="EV2" s="4">
        <v>6544891</v>
      </c>
      <c r="EW2" s="4">
        <v>6558484</v>
      </c>
      <c r="EX2" s="4">
        <v>6575296</v>
      </c>
      <c r="EY2" s="4">
        <v>6580807</v>
      </c>
      <c r="EZ2" s="4">
        <v>6590659</v>
      </c>
      <c r="FA2" s="4">
        <v>6599441</v>
      </c>
      <c r="FB2" s="4">
        <v>6615712</v>
      </c>
      <c r="FC2" s="4">
        <v>6620715</v>
      </c>
      <c r="FD2" s="4">
        <v>6627538</v>
      </c>
      <c r="FE2" s="4">
        <v>6634509</v>
      </c>
      <c r="FF2" s="4">
        <v>6648280</v>
      </c>
      <c r="FG2" s="4">
        <v>6650735</v>
      </c>
      <c r="FH2" s="4">
        <v>6660416</v>
      </c>
      <c r="FI2" s="4">
        <v>6669206</v>
      </c>
      <c r="FJ2" s="4">
        <v>6685875</v>
      </c>
      <c r="FK2" s="4">
        <v>6693206</v>
      </c>
      <c r="FL2" s="4">
        <v>6707429</v>
      </c>
      <c r="FM2" s="4">
        <v>6718023</v>
      </c>
      <c r="FN2" s="4">
        <v>6735528</v>
      </c>
      <c r="FO2" s="4">
        <v>6742690</v>
      </c>
      <c r="FP2" s="4">
        <v>6766133</v>
      </c>
      <c r="FQ2" s="4">
        <v>6786160</v>
      </c>
      <c r="FR2" s="4">
        <v>6815359</v>
      </c>
      <c r="FS2" s="4">
        <v>6834156</v>
      </c>
      <c r="FT2" s="4">
        <v>6859736</v>
      </c>
      <c r="FU2" s="4">
        <v>6883852</v>
      </c>
      <c r="FV2" s="4">
        <v>6919907</v>
      </c>
      <c r="FW2" s="4">
        <v>6943461</v>
      </c>
      <c r="FX2" s="4">
        <v>6972395</v>
      </c>
      <c r="FY2" s="4">
        <v>7001782</v>
      </c>
      <c r="FZ2" s="4">
        <v>7032423</v>
      </c>
      <c r="GA2" s="4">
        <v>7053755</v>
      </c>
      <c r="GB2" s="4">
        <v>7079175</v>
      </c>
      <c r="GC2" s="4">
        <v>7101504</v>
      </c>
      <c r="GD2" s="4">
        <v>7128356</v>
      </c>
      <c r="GE2" s="4">
        <v>7144292</v>
      </c>
      <c r="GF2" s="4">
        <v>7162726</v>
      </c>
      <c r="GG2" s="4">
        <v>7179891</v>
      </c>
      <c r="GH2" s="4">
        <v>7204737</v>
      </c>
      <c r="GI2" s="4">
        <v>7218529</v>
      </c>
      <c r="GJ2" s="4">
        <v>7239528</v>
      </c>
      <c r="GK2" s="4">
        <v>7258722</v>
      </c>
      <c r="GL2" s="4">
        <v>7284982</v>
      </c>
      <c r="GM2" s="4">
        <v>7304244</v>
      </c>
      <c r="GN2" s="4">
        <v>7327614</v>
      </c>
      <c r="GO2" s="4">
        <v>7353189</v>
      </c>
      <c r="GP2" s="4">
        <v>7382957</v>
      </c>
      <c r="GQ2" s="4">
        <v>7404032</v>
      </c>
      <c r="GR2" s="4">
        <v>7430904</v>
      </c>
      <c r="GS2" s="4">
        <v>7454938</v>
      </c>
      <c r="GT2" s="4">
        <v>7487834</v>
      </c>
      <c r="GU2" s="4">
        <v>7508353</v>
      </c>
      <c r="GV2" s="4">
        <v>7536277</v>
      </c>
      <c r="GW2" s="4">
        <v>7562171</v>
      </c>
      <c r="GX2" s="4">
        <v>7595731</v>
      </c>
    </row>
    <row r="3" spans="1:206">
      <c r="A3" s="3" t="s">
        <v>32</v>
      </c>
      <c r="B3" s="4">
        <f t="shared" ref="B3:BM6" si="4">C3/(1+((D3/C3)-1))</f>
        <v>3254758.8387576323</v>
      </c>
      <c r="C3" s="4">
        <f t="shared" si="4"/>
        <v>3263859.3886862975</v>
      </c>
      <c r="D3" s="4">
        <f t="shared" si="4"/>
        <v>3272985.3844354083</v>
      </c>
      <c r="E3" s="4">
        <f t="shared" si="4"/>
        <v>3282136.8971533878</v>
      </c>
      <c r="F3" s="4">
        <f t="shared" si="4"/>
        <v>3291313.9981875955</v>
      </c>
      <c r="G3" s="4">
        <f t="shared" si="4"/>
        <v>3300516.7590848836</v>
      </c>
      <c r="H3" s="4">
        <f t="shared" si="4"/>
        <v>3309745.2515921546</v>
      </c>
      <c r="I3" s="4">
        <f t="shared" si="4"/>
        <v>3318999.5476569207</v>
      </c>
      <c r="J3" s="4">
        <f t="shared" si="4"/>
        <v>3328279.7194278645</v>
      </c>
      <c r="K3" s="4">
        <f t="shared" si="4"/>
        <v>3337585.8392554028</v>
      </c>
      <c r="L3" s="4">
        <f t="shared" si="4"/>
        <v>3346917.9796922482</v>
      </c>
      <c r="M3" s="4">
        <f t="shared" si="4"/>
        <v>3356276.2134939767</v>
      </c>
      <c r="N3" s="4">
        <f t="shared" si="4"/>
        <v>3365660.6136195948</v>
      </c>
      <c r="O3" s="4">
        <f t="shared" si="4"/>
        <v>3375071.253232107</v>
      </c>
      <c r="P3" s="4">
        <f t="shared" si="4"/>
        <v>3384508.2056990881</v>
      </c>
      <c r="Q3" s="4">
        <f t="shared" si="4"/>
        <v>3393971.5445932527</v>
      </c>
      <c r="R3" s="4">
        <f t="shared" si="4"/>
        <v>3403461.3436930315</v>
      </c>
      <c r="S3" s="4">
        <f t="shared" si="4"/>
        <v>3412977.6769831451</v>
      </c>
      <c r="T3" s="4">
        <f t="shared" si="4"/>
        <v>3422520.6186551801</v>
      </c>
      <c r="U3" s="4">
        <f t="shared" si="4"/>
        <v>3432090.2431081692</v>
      </c>
      <c r="V3" s="4">
        <f t="shared" si="4"/>
        <v>3441686.6249491698</v>
      </c>
      <c r="W3" s="4">
        <f t="shared" si="4"/>
        <v>3451309.8389938469</v>
      </c>
      <c r="X3" s="4">
        <f t="shared" si="4"/>
        <v>3460959.9602670548</v>
      </c>
      <c r="Y3" s="4">
        <f t="shared" si="4"/>
        <v>3470637.0640034238</v>
      </c>
      <c r="Z3" s="4">
        <f t="shared" si="4"/>
        <v>3480341.2256479454</v>
      </c>
      <c r="AA3" s="4">
        <f t="shared" si="4"/>
        <v>3490072.5208565607</v>
      </c>
      <c r="AB3" s="4">
        <f t="shared" si="4"/>
        <v>3499831.0254967511</v>
      </c>
      <c r="AC3" s="4">
        <f t="shared" si="4"/>
        <v>3509616.8156481292</v>
      </c>
      <c r="AD3" s="4">
        <f t="shared" si="4"/>
        <v>3519429.9676030311</v>
      </c>
      <c r="AE3" s="4">
        <f t="shared" si="4"/>
        <v>3529270.5578671126</v>
      </c>
      <c r="AF3" s="4">
        <f t="shared" si="4"/>
        <v>3539138.663159945</v>
      </c>
      <c r="AG3" s="4">
        <f t="shared" si="4"/>
        <v>3549034.3604156133</v>
      </c>
      <c r="AH3" s="4">
        <f t="shared" si="4"/>
        <v>3558957.7267833161</v>
      </c>
      <c r="AI3" s="4">
        <f t="shared" si="4"/>
        <v>3568908.8396279663</v>
      </c>
      <c r="AJ3" s="4">
        <f t="shared" si="4"/>
        <v>3578887.7765307957</v>
      </c>
      <c r="AK3" s="4">
        <f t="shared" si="4"/>
        <v>3588894.6152899587</v>
      </c>
      <c r="AL3" s="4">
        <f t="shared" si="4"/>
        <v>3598929.4339211392</v>
      </c>
      <c r="AM3" s="4">
        <f t="shared" si="4"/>
        <v>3608992.3106581587</v>
      </c>
      <c r="AN3" s="4">
        <f t="shared" si="4"/>
        <v>3619083.3239535862</v>
      </c>
      <c r="AO3" s="4">
        <f t="shared" si="4"/>
        <v>3629202.5524793505</v>
      </c>
      <c r="AP3" s="4">
        <f t="shared" si="4"/>
        <v>3639350.0751273525</v>
      </c>
      <c r="AQ3" s="4">
        <f t="shared" si="4"/>
        <v>3649525.971010081</v>
      </c>
      <c r="AR3" s="4">
        <f t="shared" si="4"/>
        <v>3659730.3194612293</v>
      </c>
      <c r="AS3" s="4">
        <f t="shared" si="4"/>
        <v>3669963.2000363134</v>
      </c>
      <c r="AT3" s="4">
        <f t="shared" si="4"/>
        <v>3680224.6925132931</v>
      </c>
      <c r="AU3" s="4">
        <f t="shared" si="4"/>
        <v>3690514.8768931925</v>
      </c>
      <c r="AV3" s="4">
        <f t="shared" si="4"/>
        <v>3700833.8334007254</v>
      </c>
      <c r="AW3" s="4">
        <f t="shared" si="4"/>
        <v>3711181.6424849192</v>
      </c>
      <c r="AX3" s="4">
        <f t="shared" si="4"/>
        <v>3721558.3848197432</v>
      </c>
      <c r="AY3" s="4">
        <f t="shared" si="4"/>
        <v>3731964.1413047374</v>
      </c>
      <c r="AZ3" s="4">
        <f t="shared" si="4"/>
        <v>3742398.9930656427</v>
      </c>
      <c r="BA3" s="4">
        <f t="shared" si="4"/>
        <v>3752863.0214550332</v>
      </c>
      <c r="BB3" s="4">
        <f t="shared" si="4"/>
        <v>3763356.3080529519</v>
      </c>
      <c r="BC3" s="4">
        <f t="shared" si="4"/>
        <v>3773878.9346675449</v>
      </c>
      <c r="BD3" s="4">
        <f t="shared" si="4"/>
        <v>3784430.9833357004</v>
      </c>
      <c r="BE3" s="4">
        <f t="shared" si="4"/>
        <v>3795012.5363236875</v>
      </c>
      <c r="BF3" s="4">
        <f t="shared" si="4"/>
        <v>3805623.6761277989</v>
      </c>
      <c r="BG3" s="4">
        <f t="shared" si="4"/>
        <v>3816264.4854749921</v>
      </c>
      <c r="BH3" s="4">
        <f t="shared" si="4"/>
        <v>3826935.0473235357</v>
      </c>
      <c r="BI3" s="4">
        <f t="shared" si="4"/>
        <v>3837635.4448636556</v>
      </c>
      <c r="BJ3" s="4">
        <f t="shared" si="4"/>
        <v>3848365.7615181846</v>
      </c>
      <c r="BK3" s="4">
        <f t="shared" si="4"/>
        <v>3859126.0809432114</v>
      </c>
      <c r="BL3" s="4">
        <f t="shared" si="4"/>
        <v>3869916.4870287338</v>
      </c>
      <c r="BM3" s="4">
        <f t="shared" si="4"/>
        <v>3880737.0638993117</v>
      </c>
      <c r="BN3" s="4">
        <f t="shared" ref="BN3:BR9" si="5">BO3/(1+((BP3/BO3)-1))</f>
        <v>3891587.8959147241</v>
      </c>
      <c r="BO3" s="4">
        <f t="shared" si="5"/>
        <v>3902469.0676706256</v>
      </c>
      <c r="BP3" s="4">
        <f t="shared" si="5"/>
        <v>3913380.6639992078</v>
      </c>
      <c r="BQ3" s="4">
        <f t="shared" si="5"/>
        <v>3924322.7699698582</v>
      </c>
      <c r="BR3" s="4">
        <f t="shared" si="5"/>
        <v>3935295.4708898258</v>
      </c>
      <c r="BS3" s="4">
        <f>BT3/(1+((BU3/BT3)-1))</f>
        <v>3946298.8523048842</v>
      </c>
      <c r="BT3" s="4">
        <v>3957333</v>
      </c>
      <c r="BU3" s="4">
        <v>3968398</v>
      </c>
      <c r="BV3" s="4">
        <v>3980826</v>
      </c>
      <c r="BW3" s="4">
        <v>3992870</v>
      </c>
      <c r="BX3" s="4">
        <v>4002731</v>
      </c>
      <c r="BY3" s="4">
        <v>4012687</v>
      </c>
      <c r="BZ3" s="4">
        <v>4025254</v>
      </c>
      <c r="CA3" s="4">
        <v>4035702</v>
      </c>
      <c r="CB3" s="4">
        <v>4045185</v>
      </c>
      <c r="CC3" s="4">
        <v>4054498</v>
      </c>
      <c r="CD3" s="4">
        <v>4066209</v>
      </c>
      <c r="CE3" s="4">
        <v>4076492</v>
      </c>
      <c r="CF3" s="4">
        <v>4086549</v>
      </c>
      <c r="CG3" s="4">
        <v>4097640</v>
      </c>
      <c r="CH3" s="4">
        <v>4109741</v>
      </c>
      <c r="CI3" s="4">
        <v>4120068</v>
      </c>
      <c r="CJ3" s="4">
        <v>4129796</v>
      </c>
      <c r="CK3" s="4">
        <v>4140421</v>
      </c>
      <c r="CL3" s="4">
        <v>4151053</v>
      </c>
      <c r="CM3" s="4">
        <v>4160856</v>
      </c>
      <c r="CN3" s="4">
        <v>4171942</v>
      </c>
      <c r="CO3" s="4">
        <v>4183842</v>
      </c>
      <c r="CP3" s="4">
        <v>4197414</v>
      </c>
      <c r="CQ3" s="4">
        <v>4210111</v>
      </c>
      <c r="CR3" s="4">
        <v>4223707</v>
      </c>
      <c r="CS3" s="4">
        <v>4234945</v>
      </c>
      <c r="CT3" s="4">
        <v>4249985</v>
      </c>
      <c r="CU3" s="4">
        <v>4262569</v>
      </c>
      <c r="CV3" s="4">
        <v>4280376</v>
      </c>
      <c r="CW3" s="4">
        <v>4295300</v>
      </c>
      <c r="CX3" s="4">
        <v>4309978</v>
      </c>
      <c r="CY3" s="4">
        <v>4320164</v>
      </c>
      <c r="CZ3" s="4">
        <v>4333537</v>
      </c>
      <c r="DA3" s="4">
        <v>4348225</v>
      </c>
      <c r="DB3" s="4">
        <v>4364548</v>
      </c>
      <c r="DC3" s="4">
        <v>4378592</v>
      </c>
      <c r="DD3" s="4">
        <v>4391183</v>
      </c>
      <c r="DE3" s="4">
        <v>4400707</v>
      </c>
      <c r="DF3" s="4">
        <v>4413410</v>
      </c>
      <c r="DG3" s="4">
        <v>4420373</v>
      </c>
      <c r="DH3" s="4">
        <v>4429409</v>
      </c>
      <c r="DI3" s="4">
        <v>4435083</v>
      </c>
      <c r="DJ3" s="4">
        <v>4445141</v>
      </c>
      <c r="DK3" s="4">
        <v>4450217</v>
      </c>
      <c r="DL3" s="4">
        <v>4454836</v>
      </c>
      <c r="DM3" s="4">
        <v>4458219</v>
      </c>
      <c r="DN3" s="4">
        <v>4463265</v>
      </c>
      <c r="DO3" s="4">
        <v>4462766</v>
      </c>
      <c r="DP3" s="4">
        <v>4464794</v>
      </c>
      <c r="DQ3" s="4">
        <v>4466738</v>
      </c>
      <c r="DR3" s="4">
        <v>4471010</v>
      </c>
      <c r="DS3" s="4">
        <v>4472989</v>
      </c>
      <c r="DT3" s="4">
        <v>4479378</v>
      </c>
      <c r="DU3" s="4">
        <v>4483205</v>
      </c>
      <c r="DV3" s="4">
        <v>4491289</v>
      </c>
      <c r="DW3" s="4">
        <v>4497660</v>
      </c>
      <c r="DX3" s="4">
        <v>4506386</v>
      </c>
      <c r="DY3" s="4">
        <v>4517353</v>
      </c>
      <c r="DZ3" s="4">
        <v>4527573</v>
      </c>
      <c r="EA3" s="4">
        <v>4534984</v>
      </c>
      <c r="EB3" s="4">
        <v>4544480</v>
      </c>
      <c r="EC3" s="4">
        <v>4552904</v>
      </c>
      <c r="ED3" s="4">
        <v>4565356</v>
      </c>
      <c r="EE3" s="4">
        <v>4569297</v>
      </c>
      <c r="EF3" s="4">
        <v>4578175</v>
      </c>
      <c r="EG3" s="4">
        <v>4586156</v>
      </c>
      <c r="EH3" s="4">
        <v>4600872</v>
      </c>
      <c r="EI3" s="4">
        <v>4606970</v>
      </c>
      <c r="EJ3" s="4">
        <v>4617308</v>
      </c>
      <c r="EK3" s="4">
        <v>4629345</v>
      </c>
      <c r="EL3" s="4">
        <v>4645152</v>
      </c>
      <c r="EM3" s="4">
        <v>4652462</v>
      </c>
      <c r="EN3" s="4">
        <v>4665626</v>
      </c>
      <c r="EO3" s="4">
        <v>4677581</v>
      </c>
      <c r="EP3" s="4">
        <v>4695560</v>
      </c>
      <c r="EQ3" s="4">
        <v>4704065</v>
      </c>
      <c r="ER3" s="4">
        <v>4718436</v>
      </c>
      <c r="ES3" s="4">
        <v>4730855</v>
      </c>
      <c r="ET3" s="4">
        <v>4753725</v>
      </c>
      <c r="EU3" s="4">
        <v>4763615</v>
      </c>
      <c r="EV3" s="4">
        <v>4776052</v>
      </c>
      <c r="EW3" s="4">
        <v>4790212</v>
      </c>
      <c r="EX3" s="4">
        <v>4808940</v>
      </c>
      <c r="EY3" s="4">
        <v>4817774</v>
      </c>
      <c r="EZ3" s="4">
        <v>4830383</v>
      </c>
      <c r="FA3" s="4">
        <v>4845024</v>
      </c>
      <c r="FB3" s="4">
        <v>4864214</v>
      </c>
      <c r="FC3" s="4">
        <v>4873809</v>
      </c>
      <c r="FD3" s="4">
        <v>4887826</v>
      </c>
      <c r="FE3" s="4">
        <v>4900176</v>
      </c>
      <c r="FF3" s="4">
        <v>4918070</v>
      </c>
      <c r="FG3" s="4">
        <v>4927149</v>
      </c>
      <c r="FH3" s="4">
        <v>4943359</v>
      </c>
      <c r="FI3" s="4">
        <v>4957147</v>
      </c>
      <c r="FJ3" s="4">
        <v>4978342</v>
      </c>
      <c r="FK3" s="4">
        <v>4989246</v>
      </c>
      <c r="FL3" s="4">
        <v>5006241</v>
      </c>
      <c r="FM3" s="4">
        <v>5023203</v>
      </c>
      <c r="FN3" s="4">
        <v>5048207</v>
      </c>
      <c r="FO3" s="4">
        <v>5061266</v>
      </c>
      <c r="FP3" s="4">
        <v>5083593</v>
      </c>
      <c r="FQ3" s="4">
        <v>5103965</v>
      </c>
      <c r="FR3" s="4">
        <v>5134074</v>
      </c>
      <c r="FS3" s="4">
        <v>5153522</v>
      </c>
      <c r="FT3" s="4">
        <v>5178515</v>
      </c>
      <c r="FU3" s="4">
        <v>5199503</v>
      </c>
      <c r="FV3" s="4">
        <v>5233000</v>
      </c>
      <c r="FW3" s="4">
        <v>5256375</v>
      </c>
      <c r="FX3" s="4">
        <v>5286549</v>
      </c>
      <c r="FY3" s="4">
        <v>5313285</v>
      </c>
      <c r="FZ3" s="4">
        <v>5347672</v>
      </c>
      <c r="GA3" s="4">
        <v>5371934</v>
      </c>
      <c r="GB3" s="4">
        <v>5398874</v>
      </c>
      <c r="GC3" s="4">
        <v>5419249</v>
      </c>
      <c r="GD3" s="4">
        <v>5445172</v>
      </c>
      <c r="GE3" s="4">
        <v>5461101</v>
      </c>
      <c r="GF3" s="4">
        <v>5478710</v>
      </c>
      <c r="GG3" s="4">
        <v>5495711</v>
      </c>
      <c r="GH3" s="4">
        <v>5520378</v>
      </c>
      <c r="GI3" s="4">
        <v>5537817</v>
      </c>
      <c r="GJ3" s="4">
        <v>5564662</v>
      </c>
      <c r="GK3" s="4">
        <v>5591818</v>
      </c>
      <c r="GL3" s="4">
        <v>5625354</v>
      </c>
      <c r="GM3" s="4">
        <v>5651091</v>
      </c>
      <c r="GN3" s="4">
        <v>5680420</v>
      </c>
      <c r="GO3" s="4">
        <v>5709586</v>
      </c>
      <c r="GP3" s="4">
        <v>5744915</v>
      </c>
      <c r="GQ3" s="4">
        <v>5772669</v>
      </c>
      <c r="GR3" s="4">
        <v>5804499</v>
      </c>
      <c r="GS3" s="4">
        <v>5832585</v>
      </c>
      <c r="GT3" s="4">
        <v>5869511</v>
      </c>
      <c r="GU3" s="4">
        <v>5894917</v>
      </c>
      <c r="GV3" s="4">
        <v>5927199</v>
      </c>
      <c r="GW3" s="4">
        <v>5957512</v>
      </c>
      <c r="GX3" s="4">
        <v>5995205</v>
      </c>
    </row>
    <row r="4" spans="1:206">
      <c r="A4" s="3" t="s">
        <v>16</v>
      </c>
      <c r="B4" s="4">
        <f t="shared" si="4"/>
        <v>1296022.8100915258</v>
      </c>
      <c r="C4" s="4">
        <f t="shared" si="4"/>
        <v>1307226.4681762012</v>
      </c>
      <c r="D4" s="4">
        <f t="shared" si="4"/>
        <v>1318526.9779161878</v>
      </c>
      <c r="E4" s="4">
        <f t="shared" si="4"/>
        <v>1329925.1765597365</v>
      </c>
      <c r="F4" s="4">
        <f t="shared" si="4"/>
        <v>1341421.9085928129</v>
      </c>
      <c r="G4" s="4">
        <f t="shared" si="4"/>
        <v>1353018.0258016647</v>
      </c>
      <c r="H4" s="4">
        <f t="shared" si="4"/>
        <v>1364714.3873359296</v>
      </c>
      <c r="I4" s="4">
        <f t="shared" si="4"/>
        <v>1376511.8597722899</v>
      </c>
      <c r="J4" s="4">
        <f t="shared" si="4"/>
        <v>1388411.3171786764</v>
      </c>
      <c r="K4" s="4">
        <f t="shared" si="4"/>
        <v>1400413.6411790273</v>
      </c>
      <c r="L4" s="4">
        <f t="shared" si="4"/>
        <v>1412519.7210186075</v>
      </c>
      <c r="M4" s="4">
        <f t="shared" si="4"/>
        <v>1424730.4536298923</v>
      </c>
      <c r="N4" s="4">
        <f t="shared" si="4"/>
        <v>1437046.7436990205</v>
      </c>
      <c r="O4" s="4">
        <f t="shared" si="4"/>
        <v>1449469.5037328219</v>
      </c>
      <c r="P4" s="4">
        <f t="shared" si="4"/>
        <v>1461999.6541264248</v>
      </c>
      <c r="Q4" s="4">
        <f t="shared" si="4"/>
        <v>1474638.1232314473</v>
      </c>
      <c r="R4" s="4">
        <f t="shared" si="4"/>
        <v>1487385.8474247784</v>
      </c>
      <c r="S4" s="4">
        <f t="shared" si="4"/>
        <v>1500243.7711779533</v>
      </c>
      <c r="T4" s="4">
        <f t="shared" si="4"/>
        <v>1513212.8471271296</v>
      </c>
      <c r="U4" s="4">
        <f t="shared" si="4"/>
        <v>1526294.0361436666</v>
      </c>
      <c r="V4" s="4">
        <f t="shared" si="4"/>
        <v>1539488.307405316</v>
      </c>
      <c r="W4" s="4">
        <f t="shared" si="4"/>
        <v>1552796.6384680285</v>
      </c>
      <c r="X4" s="4">
        <f t="shared" si="4"/>
        <v>1566220.015338379</v>
      </c>
      <c r="Y4" s="4">
        <f t="shared" si="4"/>
        <v>1579759.4325466203</v>
      </c>
      <c r="Z4" s="4">
        <f t="shared" si="4"/>
        <v>1593415.8932203667</v>
      </c>
      <c r="AA4" s="4">
        <f t="shared" si="4"/>
        <v>1607190.4091589155</v>
      </c>
      <c r="AB4" s="4">
        <f t="shared" si="4"/>
        <v>1621084.0009082109</v>
      </c>
      <c r="AC4" s="4">
        <f t="shared" si="4"/>
        <v>1635097.6978364545</v>
      </c>
      <c r="AD4" s="4">
        <f t="shared" si="4"/>
        <v>1649232.538210372</v>
      </c>
      <c r="AE4" s="4">
        <f t="shared" si="4"/>
        <v>1663489.5692721365</v>
      </c>
      <c r="AF4" s="4">
        <f t="shared" si="4"/>
        <v>1677869.8473169596</v>
      </c>
      <c r="AG4" s="4">
        <f t="shared" si="4"/>
        <v>1692374.4377713501</v>
      </c>
      <c r="AH4" s="4">
        <f t="shared" si="4"/>
        <v>1707004.4152720517</v>
      </c>
      <c r="AI4" s="4">
        <f t="shared" si="4"/>
        <v>1721760.8637456622</v>
      </c>
      <c r="AJ4" s="4">
        <f t="shared" si="4"/>
        <v>1736644.8764889406</v>
      </c>
      <c r="AK4" s="4">
        <f t="shared" si="4"/>
        <v>1751657.5562498095</v>
      </c>
      <c r="AL4" s="4">
        <f t="shared" si="4"/>
        <v>1766800.0153090563</v>
      </c>
      <c r="AM4" s="4">
        <f t="shared" si="4"/>
        <v>1782073.3755627421</v>
      </c>
      <c r="AN4" s="4">
        <f t="shared" si="4"/>
        <v>1797478.7686053216</v>
      </c>
      <c r="AO4" s="4">
        <f t="shared" si="4"/>
        <v>1813017.3358134832</v>
      </c>
      <c r="AP4" s="4">
        <f t="shared" si="4"/>
        <v>1828690.2284307119</v>
      </c>
      <c r="AQ4" s="4">
        <f t="shared" si="4"/>
        <v>1844498.6076525853</v>
      </c>
      <c r="AR4" s="4">
        <f t="shared" si="4"/>
        <v>1860443.644712805</v>
      </c>
      <c r="AS4" s="4">
        <f t="shared" si="4"/>
        <v>1876526.5209699734</v>
      </c>
      <c r="AT4" s="4">
        <f t="shared" si="4"/>
        <v>1892748.4279951195</v>
      </c>
      <c r="AU4" s="4">
        <f t="shared" si="4"/>
        <v>1909110.5676599813</v>
      </c>
      <c r="AV4" s="4">
        <f t="shared" si="4"/>
        <v>1925614.1522260527</v>
      </c>
      <c r="AW4" s="4">
        <f t="shared" si="4"/>
        <v>1942260.4044343987</v>
      </c>
      <c r="AX4" s="4">
        <f t="shared" si="4"/>
        <v>1959050.5575962476</v>
      </c>
      <c r="AY4" s="4">
        <f t="shared" si="4"/>
        <v>1975985.8556843663</v>
      </c>
      <c r="AZ4" s="4">
        <f t="shared" si="4"/>
        <v>1993067.5534252257</v>
      </c>
      <c r="BA4" s="4">
        <f t="shared" si="4"/>
        <v>2010296.9163919622</v>
      </c>
      <c r="BB4" s="4">
        <f t="shared" si="4"/>
        <v>2027675.2210981443</v>
      </c>
      <c r="BC4" s="4">
        <f t="shared" si="4"/>
        <v>2045203.7550923477</v>
      </c>
      <c r="BD4" s="4">
        <f t="shared" si="4"/>
        <v>2062883.8170535495</v>
      </c>
      <c r="BE4" s="4">
        <f t="shared" si="4"/>
        <v>2080716.7168873462</v>
      </c>
      <c r="BF4" s="4">
        <f t="shared" si="4"/>
        <v>2098703.775823005</v>
      </c>
      <c r="BG4" s="4">
        <f t="shared" si="4"/>
        <v>2116846.3265113509</v>
      </c>
      <c r="BH4" s="4">
        <f t="shared" si="4"/>
        <v>2135145.7131235045</v>
      </c>
      <c r="BI4" s="4">
        <f t="shared" si="4"/>
        <v>2153603.2914504684</v>
      </c>
      <c r="BJ4" s="4">
        <f t="shared" si="4"/>
        <v>2172220.4290035786</v>
      </c>
      <c r="BK4" s="4">
        <f t="shared" si="4"/>
        <v>2190998.5051158229</v>
      </c>
      <c r="BL4" s="4">
        <f t="shared" si="4"/>
        <v>2209938.9110440328</v>
      </c>
      <c r="BM4" s="4">
        <f t="shared" si="4"/>
        <v>2229043.0500719631</v>
      </c>
      <c r="BN4" s="4">
        <f t="shared" si="5"/>
        <v>2248312.3376142592</v>
      </c>
      <c r="BO4" s="4">
        <f t="shared" si="5"/>
        <v>2267748.2013213253</v>
      </c>
      <c r="BP4" s="4">
        <f t="shared" si="5"/>
        <v>2287352.0811850969</v>
      </c>
      <c r="BQ4" s="4">
        <f t="shared" si="5"/>
        <v>2307125.4296457297</v>
      </c>
      <c r="BR4" s="4">
        <f t="shared" si="5"/>
        <v>2327069.711699211</v>
      </c>
      <c r="BS4" s="4">
        <f t="shared" ref="BS4:BS9" si="6">BT4/(1+((BU4/BT4)-1))</f>
        <v>2347186.4050058983</v>
      </c>
      <c r="BT4" s="4">
        <v>2367477</v>
      </c>
      <c r="BU4" s="4">
        <v>2387943</v>
      </c>
      <c r="BV4" s="4">
        <v>2406355</v>
      </c>
      <c r="BW4" s="4">
        <v>2424586</v>
      </c>
      <c r="BX4" s="4">
        <v>2442912</v>
      </c>
      <c r="BY4" s="4">
        <v>2456475</v>
      </c>
      <c r="BZ4" s="4">
        <v>2469709</v>
      </c>
      <c r="CA4" s="4">
        <v>2482282</v>
      </c>
      <c r="CB4" s="4">
        <v>2493373</v>
      </c>
      <c r="CC4" s="4">
        <v>2503285</v>
      </c>
      <c r="CD4" s="4">
        <v>2513443</v>
      </c>
      <c r="CE4" s="4">
        <v>2523859</v>
      </c>
      <c r="CF4" s="4">
        <v>2535976</v>
      </c>
      <c r="CG4" s="4">
        <v>2547078</v>
      </c>
      <c r="CH4" s="4">
        <v>2559452</v>
      </c>
      <c r="CI4" s="4">
        <v>2571218</v>
      </c>
      <c r="CJ4" s="4">
        <v>2583368</v>
      </c>
      <c r="CK4" s="4">
        <v>2597100</v>
      </c>
      <c r="CL4" s="4">
        <v>2610205</v>
      </c>
      <c r="CM4" s="4">
        <v>2624595</v>
      </c>
      <c r="CN4" s="4">
        <v>2636477</v>
      </c>
      <c r="CO4" s="4">
        <v>2648778</v>
      </c>
      <c r="CP4" s="4">
        <v>2662654</v>
      </c>
      <c r="CQ4" s="4">
        <v>2675107</v>
      </c>
      <c r="CR4" s="4">
        <v>2688129</v>
      </c>
      <c r="CS4" s="4">
        <v>2703516</v>
      </c>
      <c r="CT4" s="4">
        <v>2723992</v>
      </c>
      <c r="CU4" s="4">
        <v>2739907</v>
      </c>
      <c r="CV4" s="4">
        <v>2760389</v>
      </c>
      <c r="CW4" s="4">
        <v>2780869</v>
      </c>
      <c r="CX4" s="4">
        <v>2806845</v>
      </c>
      <c r="CY4" s="4">
        <v>2827637</v>
      </c>
      <c r="CZ4" s="4">
        <v>2847045</v>
      </c>
      <c r="DA4" s="4">
        <v>2864007</v>
      </c>
      <c r="DB4" s="4">
        <v>2884170</v>
      </c>
      <c r="DC4" s="4">
        <v>2899283</v>
      </c>
      <c r="DD4" s="4">
        <v>2913538</v>
      </c>
      <c r="DE4" s="4">
        <v>2928713</v>
      </c>
      <c r="DF4" s="4">
        <v>2947512</v>
      </c>
      <c r="DG4" s="4">
        <v>2960951</v>
      </c>
      <c r="DH4" s="4">
        <v>2975984</v>
      </c>
      <c r="DI4" s="4">
        <v>2990441</v>
      </c>
      <c r="DJ4" s="4">
        <v>3010322</v>
      </c>
      <c r="DK4" s="4">
        <v>3023198</v>
      </c>
      <c r="DL4" s="4">
        <v>3041149</v>
      </c>
      <c r="DM4" s="4">
        <v>3057138</v>
      </c>
      <c r="DN4" s="4">
        <v>3081331</v>
      </c>
      <c r="DO4" s="4">
        <v>3096185</v>
      </c>
      <c r="DP4" s="4">
        <v>3115843</v>
      </c>
      <c r="DQ4" s="4">
        <v>3130986</v>
      </c>
      <c r="DR4" s="4">
        <v>3151365</v>
      </c>
      <c r="DS4" s="4">
        <v>3166566</v>
      </c>
      <c r="DT4" s="4">
        <v>3184148</v>
      </c>
      <c r="DU4" s="4">
        <v>3198877</v>
      </c>
      <c r="DV4" s="4">
        <v>3218314</v>
      </c>
      <c r="DW4" s="4">
        <v>3237380</v>
      </c>
      <c r="DX4" s="4">
        <v>3255117</v>
      </c>
      <c r="DY4" s="4">
        <v>3271743</v>
      </c>
      <c r="DZ4" s="4">
        <v>3289507</v>
      </c>
      <c r="EA4" s="4">
        <v>3303192</v>
      </c>
      <c r="EB4" s="4">
        <v>3318599</v>
      </c>
      <c r="EC4" s="4">
        <v>3330579</v>
      </c>
      <c r="ED4" s="4">
        <v>3343777</v>
      </c>
      <c r="EE4" s="4">
        <v>3355417</v>
      </c>
      <c r="EF4" s="4">
        <v>3369184</v>
      </c>
      <c r="EG4" s="4">
        <v>3380394</v>
      </c>
      <c r="EH4" s="4">
        <v>3393483</v>
      </c>
      <c r="EI4" s="4">
        <v>3404484</v>
      </c>
      <c r="EJ4" s="4">
        <v>3416076</v>
      </c>
      <c r="EK4" s="4">
        <v>3427505</v>
      </c>
      <c r="EL4" s="4">
        <v>3442196</v>
      </c>
      <c r="EM4" s="4">
        <v>3453936</v>
      </c>
      <c r="EN4" s="4">
        <v>3466399</v>
      </c>
      <c r="EO4" s="4">
        <v>3481034</v>
      </c>
      <c r="EP4" s="4">
        <v>3497147</v>
      </c>
      <c r="EQ4" s="4">
        <v>3509458</v>
      </c>
      <c r="ER4" s="4">
        <v>3523446</v>
      </c>
      <c r="ES4" s="4">
        <v>3537670</v>
      </c>
      <c r="ET4" s="4">
        <v>3556466</v>
      </c>
      <c r="EU4" s="4">
        <v>3571469</v>
      </c>
      <c r="EV4" s="4">
        <v>3590969</v>
      </c>
      <c r="EW4" s="4">
        <v>3611203</v>
      </c>
      <c r="EX4" s="4">
        <v>3631451</v>
      </c>
      <c r="EY4" s="4">
        <v>3653123</v>
      </c>
      <c r="EZ4" s="4">
        <v>3676870</v>
      </c>
      <c r="FA4" s="4">
        <v>3700791</v>
      </c>
      <c r="FB4" s="4">
        <v>3723239</v>
      </c>
      <c r="FC4" s="4">
        <v>3743121</v>
      </c>
      <c r="FD4" s="4">
        <v>3765109</v>
      </c>
      <c r="FE4" s="4">
        <v>3788560</v>
      </c>
      <c r="FF4" s="4">
        <v>3810921</v>
      </c>
      <c r="FG4" s="4">
        <v>3829970</v>
      </c>
      <c r="FH4" s="4">
        <v>3849852</v>
      </c>
      <c r="FI4" s="4">
        <v>3872351</v>
      </c>
      <c r="FJ4" s="4">
        <v>3896951</v>
      </c>
      <c r="FK4" s="4">
        <v>3918494</v>
      </c>
      <c r="FL4" s="4">
        <v>3940494</v>
      </c>
      <c r="FM4" s="4">
        <v>3964175</v>
      </c>
      <c r="FN4" s="4">
        <v>3987653</v>
      </c>
      <c r="FO4" s="4">
        <v>4007992</v>
      </c>
      <c r="FP4" s="4">
        <v>4031580</v>
      </c>
      <c r="FQ4" s="4">
        <v>4055845</v>
      </c>
      <c r="FR4" s="4">
        <v>4084531</v>
      </c>
      <c r="FS4" s="4">
        <v>4111018</v>
      </c>
      <c r="FT4" s="4">
        <v>4134958</v>
      </c>
      <c r="FU4" s="4">
        <v>4159990</v>
      </c>
      <c r="FV4" s="4">
        <v>4191479</v>
      </c>
      <c r="FW4" s="4">
        <v>4219505</v>
      </c>
      <c r="FX4" s="4">
        <v>4247991</v>
      </c>
      <c r="FY4" s="4">
        <v>4275551</v>
      </c>
      <c r="FZ4" s="4">
        <v>4305605</v>
      </c>
      <c r="GA4" s="4">
        <v>4328771</v>
      </c>
      <c r="GB4" s="4">
        <v>4350135</v>
      </c>
      <c r="GC4" s="4">
        <v>4367454</v>
      </c>
      <c r="GD4" s="4">
        <v>4387801</v>
      </c>
      <c r="GE4" s="4">
        <v>4404744</v>
      </c>
      <c r="GF4" s="4">
        <v>4421470</v>
      </c>
      <c r="GG4" s="4">
        <v>4436882</v>
      </c>
      <c r="GH4" s="4">
        <v>4457971</v>
      </c>
      <c r="GI4" s="4">
        <v>4476778</v>
      </c>
      <c r="GJ4" s="4">
        <v>4498104</v>
      </c>
      <c r="GK4" s="4">
        <v>4518649</v>
      </c>
      <c r="GL4" s="4">
        <v>4545613</v>
      </c>
      <c r="GM4" s="4">
        <v>4568687</v>
      </c>
      <c r="GN4" s="4">
        <v>4592100</v>
      </c>
      <c r="GO4" s="4">
        <v>4611304</v>
      </c>
      <c r="GP4" s="4">
        <v>4634430</v>
      </c>
      <c r="GQ4" s="4">
        <v>4652824</v>
      </c>
      <c r="GR4" s="4">
        <v>4670784</v>
      </c>
      <c r="GS4" s="4">
        <v>4685439</v>
      </c>
      <c r="GT4" s="4">
        <v>4705187</v>
      </c>
      <c r="GU4" s="4">
        <v>4719653</v>
      </c>
      <c r="GV4" s="4">
        <v>4734613</v>
      </c>
      <c r="GW4" s="4">
        <v>4747263</v>
      </c>
      <c r="GX4" s="4">
        <v>4764439</v>
      </c>
    </row>
    <row r="5" spans="1:206">
      <c r="A5" s="3" t="s">
        <v>96</v>
      </c>
      <c r="B5" s="4">
        <f t="shared" si="4"/>
        <v>1072594.6466124458</v>
      </c>
      <c r="C5" s="4">
        <f t="shared" si="4"/>
        <v>1075793.9983570632</v>
      </c>
      <c r="D5" s="4">
        <f t="shared" si="4"/>
        <v>1079002.8931770802</v>
      </c>
      <c r="E5" s="4">
        <f t="shared" si="4"/>
        <v>1082221.3595377281</v>
      </c>
      <c r="F5" s="4">
        <f t="shared" si="4"/>
        <v>1085449.4259891452</v>
      </c>
      <c r="G5" s="4">
        <f t="shared" si="4"/>
        <v>1088687.1211666293</v>
      </c>
      <c r="H5" s="4">
        <f t="shared" si="4"/>
        <v>1091934.4737908919</v>
      </c>
      <c r="I5" s="4">
        <f t="shared" si="4"/>
        <v>1095191.5126683132</v>
      </c>
      <c r="J5" s="4">
        <f t="shared" si="4"/>
        <v>1098458.2666911976</v>
      </c>
      <c r="K5" s="4">
        <f t="shared" si="4"/>
        <v>1101734.7648380299</v>
      </c>
      <c r="L5" s="4">
        <f t="shared" si="4"/>
        <v>1105021.0361737323</v>
      </c>
      <c r="M5" s="4">
        <f t="shared" si="4"/>
        <v>1108317.1098499221</v>
      </c>
      <c r="N5" s="4">
        <f t="shared" si="4"/>
        <v>1111623.0151051709</v>
      </c>
      <c r="O5" s="4">
        <f t="shared" si="4"/>
        <v>1114938.781265263</v>
      </c>
      <c r="P5" s="4">
        <f t="shared" si="4"/>
        <v>1118264.4377434568</v>
      </c>
      <c r="Q5" s="4">
        <f t="shared" si="4"/>
        <v>1121600.0140407444</v>
      </c>
      <c r="R5" s="4">
        <f t="shared" si="4"/>
        <v>1124945.5397461143</v>
      </c>
      <c r="S5" s="4">
        <f t="shared" si="4"/>
        <v>1128301.0445368134</v>
      </c>
      <c r="T5" s="4">
        <f t="shared" si="4"/>
        <v>1131666.5581786104</v>
      </c>
      <c r="U5" s="4">
        <f t="shared" si="4"/>
        <v>1135042.1105260595</v>
      </c>
      <c r="V5" s="4">
        <f t="shared" si="4"/>
        <v>1138427.7315227657</v>
      </c>
      <c r="W5" s="4">
        <f t="shared" si="4"/>
        <v>1141823.4512016503</v>
      </c>
      <c r="X5" s="4">
        <f t="shared" si="4"/>
        <v>1145229.2996852172</v>
      </c>
      <c r="Y5" s="4">
        <f t="shared" si="4"/>
        <v>1148645.3071858203</v>
      </c>
      <c r="Z5" s="4">
        <f t="shared" si="4"/>
        <v>1152071.5040059313</v>
      </c>
      <c r="AA5" s="4">
        <f t="shared" si="4"/>
        <v>1155507.9205384084</v>
      </c>
      <c r="AB5" s="4">
        <f t="shared" si="4"/>
        <v>1158954.5872667662</v>
      </c>
      <c r="AC5" s="4">
        <f t="shared" si="4"/>
        <v>1162411.5347654461</v>
      </c>
      <c r="AD5" s="4">
        <f t="shared" si="4"/>
        <v>1165878.7937000871</v>
      </c>
      <c r="AE5" s="4">
        <f t="shared" si="4"/>
        <v>1169356.3948277987</v>
      </c>
      <c r="AF5" s="4">
        <f t="shared" si="4"/>
        <v>1172844.3689974325</v>
      </c>
      <c r="AG5" s="4">
        <f t="shared" si="4"/>
        <v>1176342.7471498572</v>
      </c>
      <c r="AH5" s="4">
        <f t="shared" si="4"/>
        <v>1179851.5603182318</v>
      </c>
      <c r="AI5" s="4">
        <f t="shared" si="4"/>
        <v>1183370.839628282</v>
      </c>
      <c r="AJ5" s="4">
        <f t="shared" si="4"/>
        <v>1186900.6162985754</v>
      </c>
      <c r="AK5" s="4">
        <f t="shared" si="4"/>
        <v>1190440.9216407989</v>
      </c>
      <c r="AL5" s="4">
        <f t="shared" si="4"/>
        <v>1193991.7870600366</v>
      </c>
      <c r="AM5" s="4">
        <f t="shared" si="4"/>
        <v>1197553.2440550476</v>
      </c>
      <c r="AN5" s="4">
        <f t="shared" si="4"/>
        <v>1201125.3242185467</v>
      </c>
      <c r="AO5" s="4">
        <f t="shared" si="4"/>
        <v>1204708.0592374837</v>
      </c>
      <c r="AP5" s="4">
        <f t="shared" si="4"/>
        <v>1208301.4808933246</v>
      </c>
      <c r="AQ5" s="4">
        <f t="shared" si="4"/>
        <v>1211905.6210623335</v>
      </c>
      <c r="AR5" s="4">
        <f t="shared" si="4"/>
        <v>1215520.5117158559</v>
      </c>
      <c r="AS5" s="4">
        <f t="shared" si="4"/>
        <v>1219146.1849206015</v>
      </c>
      <c r="AT5" s="4">
        <f t="shared" si="4"/>
        <v>1222782.6728389296</v>
      </c>
      <c r="AU5" s="4">
        <f t="shared" si="4"/>
        <v>1226430.0077291331</v>
      </c>
      <c r="AV5" s="4">
        <f t="shared" si="4"/>
        <v>1230088.2219457263</v>
      </c>
      <c r="AW5" s="4">
        <f t="shared" si="4"/>
        <v>1233757.3479397304</v>
      </c>
      <c r="AX5" s="4">
        <f t="shared" si="4"/>
        <v>1237437.4182589622</v>
      </c>
      <c r="AY5" s="4">
        <f t="shared" si="4"/>
        <v>1241128.465548323</v>
      </c>
      <c r="AZ5" s="4">
        <f t="shared" si="4"/>
        <v>1244830.5225500872</v>
      </c>
      <c r="BA5" s="4">
        <f t="shared" si="4"/>
        <v>1248543.6221041935</v>
      </c>
      <c r="BB5" s="4">
        <f t="shared" si="4"/>
        <v>1252267.7971485367</v>
      </c>
      <c r="BC5" s="4">
        <f t="shared" si="4"/>
        <v>1256003.0807192582</v>
      </c>
      <c r="BD5" s="4">
        <f t="shared" si="4"/>
        <v>1259749.5059510409</v>
      </c>
      <c r="BE5" s="4">
        <f t="shared" si="4"/>
        <v>1263507.1060774021</v>
      </c>
      <c r="BF5" s="4">
        <f t="shared" si="4"/>
        <v>1267275.9144309887</v>
      </c>
      <c r="BG5" s="4">
        <f t="shared" si="4"/>
        <v>1271055.9644438724</v>
      </c>
      <c r="BH5" s="4">
        <f t="shared" si="4"/>
        <v>1274847.2896478469</v>
      </c>
      <c r="BI5" s="4">
        <f t="shared" si="4"/>
        <v>1278649.923674725</v>
      </c>
      <c r="BJ5" s="4">
        <f t="shared" si="4"/>
        <v>1282463.9002566366</v>
      </c>
      <c r="BK5" s="4">
        <f t="shared" si="4"/>
        <v>1286289.2532263289</v>
      </c>
      <c r="BL5" s="4">
        <f t="shared" si="4"/>
        <v>1290126.0165174655</v>
      </c>
      <c r="BM5" s="4">
        <f t="shared" si="4"/>
        <v>1293974.2241649281</v>
      </c>
      <c r="BN5" s="4">
        <f t="shared" si="5"/>
        <v>1297833.910305118</v>
      </c>
      <c r="BO5" s="4">
        <f t="shared" si="5"/>
        <v>1301705.1091762593</v>
      </c>
      <c r="BP5" s="4">
        <f t="shared" si="5"/>
        <v>1305587.8551187022</v>
      </c>
      <c r="BQ5" s="4">
        <f t="shared" si="5"/>
        <v>1309482.1825752279</v>
      </c>
      <c r="BR5" s="4">
        <f t="shared" si="5"/>
        <v>1313388.1260913541</v>
      </c>
      <c r="BS5" s="4">
        <f t="shared" si="6"/>
        <v>1317305.7203156413</v>
      </c>
      <c r="BT5" s="4">
        <v>1321235</v>
      </c>
      <c r="BU5" s="4">
        <v>1325176</v>
      </c>
      <c r="BV5" s="4">
        <v>1328670</v>
      </c>
      <c r="BW5" s="4">
        <v>1331108</v>
      </c>
      <c r="BX5" s="4">
        <v>1334090</v>
      </c>
      <c r="BY5" s="4">
        <v>1337783</v>
      </c>
      <c r="BZ5" s="4">
        <v>1342193</v>
      </c>
      <c r="CA5" s="4">
        <v>1345775</v>
      </c>
      <c r="CB5" s="4">
        <v>1349553</v>
      </c>
      <c r="CC5" s="4">
        <v>1353208</v>
      </c>
      <c r="CD5" s="4">
        <v>1356511</v>
      </c>
      <c r="CE5" s="4">
        <v>1360048</v>
      </c>
      <c r="CF5" s="4">
        <v>1362611</v>
      </c>
      <c r="CG5" s="4">
        <v>1365333</v>
      </c>
      <c r="CH5" s="4">
        <v>1368721</v>
      </c>
      <c r="CI5" s="4">
        <v>1371197</v>
      </c>
      <c r="CJ5" s="4">
        <v>1373324</v>
      </c>
      <c r="CK5" s="4">
        <v>1376838</v>
      </c>
      <c r="CL5" s="4">
        <v>1380317</v>
      </c>
      <c r="CM5" s="4">
        <v>1382550</v>
      </c>
      <c r="CN5" s="4">
        <v>1384840</v>
      </c>
      <c r="CO5" s="4">
        <v>1387499</v>
      </c>
      <c r="CP5" s="4">
        <v>1390436</v>
      </c>
      <c r="CQ5" s="4">
        <v>1392764</v>
      </c>
      <c r="CR5" s="4">
        <v>1395947</v>
      </c>
      <c r="CS5" s="4">
        <v>1398959</v>
      </c>
      <c r="CT5" s="4">
        <v>1402329</v>
      </c>
      <c r="CU5" s="4">
        <v>1404909</v>
      </c>
      <c r="CV5" s="4">
        <v>1408705</v>
      </c>
      <c r="CW5" s="4">
        <v>1412323</v>
      </c>
      <c r="CX5" s="4">
        <v>1416938</v>
      </c>
      <c r="CY5" s="4">
        <v>1419029</v>
      </c>
      <c r="CZ5" s="4">
        <v>1421671</v>
      </c>
      <c r="DA5" s="4">
        <v>1425461</v>
      </c>
      <c r="DB5" s="4">
        <v>1429541</v>
      </c>
      <c r="DC5" s="4">
        <v>1432056</v>
      </c>
      <c r="DD5" s="4">
        <v>1435497</v>
      </c>
      <c r="DE5" s="4">
        <v>1438882</v>
      </c>
      <c r="DF5" s="4">
        <v>1443371</v>
      </c>
      <c r="DG5" s="4">
        <v>1446299</v>
      </c>
      <c r="DH5" s="4">
        <v>1449037</v>
      </c>
      <c r="DI5" s="4">
        <v>1450862</v>
      </c>
      <c r="DJ5" s="4">
        <v>1454160</v>
      </c>
      <c r="DK5" s="4">
        <v>1455442</v>
      </c>
      <c r="DL5" s="4">
        <v>1456178</v>
      </c>
      <c r="DM5" s="4">
        <v>1457241</v>
      </c>
      <c r="DN5" s="4">
        <v>1457895</v>
      </c>
      <c r="DO5" s="4">
        <v>1458632</v>
      </c>
      <c r="DP5" s="4">
        <v>1460306</v>
      </c>
      <c r="DQ5" s="4">
        <v>1461102</v>
      </c>
      <c r="DR5" s="4">
        <v>1462557</v>
      </c>
      <c r="DS5" s="4">
        <v>1463089</v>
      </c>
      <c r="DT5" s="4">
        <v>1463714</v>
      </c>
      <c r="DU5" s="4">
        <v>1463977</v>
      </c>
      <c r="DV5" s="4">
        <v>1464763</v>
      </c>
      <c r="DW5" s="4">
        <v>1465340</v>
      </c>
      <c r="DX5" s="4">
        <v>1465759</v>
      </c>
      <c r="DY5" s="4">
        <v>1466605</v>
      </c>
      <c r="DZ5" s="4">
        <v>1467943</v>
      </c>
      <c r="EA5" s="4">
        <v>1469079</v>
      </c>
      <c r="EB5" s="4">
        <v>1470334</v>
      </c>
      <c r="EC5" s="4">
        <v>1471997</v>
      </c>
      <c r="ED5" s="4">
        <v>1474442</v>
      </c>
      <c r="EE5" s="4">
        <v>1475658</v>
      </c>
      <c r="EF5" s="4">
        <v>1477371</v>
      </c>
      <c r="EG5" s="4">
        <v>1479003</v>
      </c>
      <c r="EH5" s="4">
        <v>1482137</v>
      </c>
      <c r="EI5" s="4">
        <v>1483270</v>
      </c>
      <c r="EJ5" s="4">
        <v>1484580</v>
      </c>
      <c r="EK5" s="4">
        <v>1487042</v>
      </c>
      <c r="EL5" s="4">
        <v>1489729</v>
      </c>
      <c r="EM5" s="4">
        <v>1490934</v>
      </c>
      <c r="EN5" s="4">
        <v>1493030</v>
      </c>
      <c r="EO5" s="4">
        <v>1495218</v>
      </c>
      <c r="EP5" s="4">
        <v>1496828</v>
      </c>
      <c r="EQ5" s="4">
        <v>1497503</v>
      </c>
      <c r="ER5" s="4">
        <v>1498934</v>
      </c>
      <c r="ES5" s="4">
        <v>1500129</v>
      </c>
      <c r="ET5" s="4">
        <v>1502299</v>
      </c>
      <c r="EU5" s="4">
        <v>1503461</v>
      </c>
      <c r="EV5" s="4">
        <v>1504992</v>
      </c>
      <c r="EW5" s="4">
        <v>1507825</v>
      </c>
      <c r="EX5" s="4">
        <v>1510013</v>
      </c>
      <c r="EY5" s="4">
        <v>1511567</v>
      </c>
      <c r="EZ5" s="4">
        <v>1513662</v>
      </c>
      <c r="FA5" s="4">
        <v>1515723</v>
      </c>
      <c r="FB5" s="4">
        <v>1518570</v>
      </c>
      <c r="FC5" s="4">
        <v>1520399</v>
      </c>
      <c r="FD5" s="4">
        <v>1522193</v>
      </c>
      <c r="FE5" s="4">
        <v>1524727</v>
      </c>
      <c r="FF5" s="4">
        <v>1526994</v>
      </c>
      <c r="FG5" s="4">
        <v>1528189</v>
      </c>
      <c r="FH5" s="4">
        <v>1530521</v>
      </c>
      <c r="FI5" s="4">
        <v>1532562</v>
      </c>
      <c r="FJ5" s="4">
        <v>1536798</v>
      </c>
      <c r="FK5" s="4">
        <v>1538804</v>
      </c>
      <c r="FL5" s="4">
        <v>1542004</v>
      </c>
      <c r="FM5" s="4">
        <v>1544852</v>
      </c>
      <c r="FN5" s="4">
        <v>1550135</v>
      </c>
      <c r="FO5" s="4">
        <v>1552529</v>
      </c>
      <c r="FP5" s="4">
        <v>1557332</v>
      </c>
      <c r="FQ5" s="4">
        <v>1561300</v>
      </c>
      <c r="FR5" s="4">
        <v>1567206</v>
      </c>
      <c r="FS5" s="4">
        <v>1570619</v>
      </c>
      <c r="FT5" s="4">
        <v>1574537</v>
      </c>
      <c r="FU5" s="4">
        <v>1578489</v>
      </c>
      <c r="FV5" s="4">
        <v>1584408</v>
      </c>
      <c r="FW5" s="4">
        <v>1588665</v>
      </c>
      <c r="FX5" s="4">
        <v>1593725</v>
      </c>
      <c r="FY5" s="4">
        <v>1597880</v>
      </c>
      <c r="FZ5" s="4">
        <v>1604142</v>
      </c>
      <c r="GA5" s="4">
        <v>1608902</v>
      </c>
      <c r="GB5" s="4">
        <v>1614593</v>
      </c>
      <c r="GC5" s="4">
        <v>1618578</v>
      </c>
      <c r="GD5" s="4">
        <v>1624033</v>
      </c>
      <c r="GE5" s="4">
        <v>1627322</v>
      </c>
      <c r="GF5" s="4">
        <v>1630230</v>
      </c>
      <c r="GG5" s="4">
        <v>1632482</v>
      </c>
      <c r="GH5" s="4">
        <v>1636759</v>
      </c>
      <c r="GI5" s="4">
        <v>1639614</v>
      </c>
      <c r="GJ5" s="4">
        <v>1643402</v>
      </c>
      <c r="GK5" s="4">
        <v>1647183</v>
      </c>
      <c r="GL5" s="4">
        <v>1652716</v>
      </c>
      <c r="GM5" s="4">
        <v>1656725</v>
      </c>
      <c r="GN5" s="4">
        <v>1660198</v>
      </c>
      <c r="GO5" s="4">
        <v>1663082</v>
      </c>
      <c r="GP5" s="4">
        <v>1668056</v>
      </c>
      <c r="GQ5" s="4">
        <v>1671488</v>
      </c>
      <c r="GR5" s="4">
        <v>1675313</v>
      </c>
      <c r="GS5" s="4">
        <v>1678052</v>
      </c>
      <c r="GT5" s="4">
        <v>1683544</v>
      </c>
      <c r="GU5" s="4">
        <v>1686945</v>
      </c>
      <c r="GV5" s="4">
        <v>1690133</v>
      </c>
      <c r="GW5" s="4">
        <v>1693107</v>
      </c>
      <c r="GX5" s="4">
        <v>1698433</v>
      </c>
    </row>
    <row r="6" spans="1:206">
      <c r="A6" s="3" t="s">
        <v>20</v>
      </c>
      <c r="B6" s="4">
        <f t="shared" si="4"/>
        <v>815089.9704769263</v>
      </c>
      <c r="C6" s="4">
        <f t="shared" si="4"/>
        <v>820645.18129788677</v>
      </c>
      <c r="D6" s="4">
        <f t="shared" si="4"/>
        <v>826238.25342052325</v>
      </c>
      <c r="E6" s="4">
        <f t="shared" si="4"/>
        <v>831869.44488691736</v>
      </c>
      <c r="F6" s="4">
        <f t="shared" si="4"/>
        <v>837539.01549782569</v>
      </c>
      <c r="G6" s="4">
        <f t="shared" si="4"/>
        <v>843247.22682466567</v>
      </c>
      <c r="H6" s="4">
        <f t="shared" si="4"/>
        <v>848994.34222158347</v>
      </c>
      <c r="I6" s="4">
        <f t="shared" si="4"/>
        <v>854780.62683760433</v>
      </c>
      <c r="J6" s="4">
        <f t="shared" si="4"/>
        <v>860606.34762886516</v>
      </c>
      <c r="K6" s="4">
        <f t="shared" si="4"/>
        <v>866471.77337093104</v>
      </c>
      <c r="L6" s="4">
        <f t="shared" si="4"/>
        <v>872377.17467119545</v>
      </c>
      <c r="M6" s="4">
        <f t="shared" si="4"/>
        <v>878322.82398136507</v>
      </c>
      <c r="N6" s="4">
        <f t="shared" si="4"/>
        <v>884308.99561002932</v>
      </c>
      <c r="O6" s="4">
        <f t="shared" si="4"/>
        <v>890335.96573531628</v>
      </c>
      <c r="P6" s="4">
        <f t="shared" si="4"/>
        <v>896404.01241763413</v>
      </c>
      <c r="Q6" s="4">
        <f t="shared" si="4"/>
        <v>902513.41561249993</v>
      </c>
      <c r="R6" s="4">
        <f t="shared" si="4"/>
        <v>908664.45718345547</v>
      </c>
      <c r="S6" s="4">
        <f t="shared" si="4"/>
        <v>914857.42091507162</v>
      </c>
      <c r="T6" s="4">
        <f t="shared" si="4"/>
        <v>921092.59252604074</v>
      </c>
      <c r="U6" s="4">
        <f t="shared" si="4"/>
        <v>927370.25968235871</v>
      </c>
      <c r="V6" s="4">
        <f t="shared" si="4"/>
        <v>933690.71201059665</v>
      </c>
      <c r="W6" s="4">
        <f t="shared" si="4"/>
        <v>940054.2411112634</v>
      </c>
      <c r="X6" s="4">
        <f t="shared" si="4"/>
        <v>946461.14057225839</v>
      </c>
      <c r="Y6" s="4">
        <f t="shared" si="4"/>
        <v>952911.70598241687</v>
      </c>
      <c r="Z6" s="4">
        <f t="shared" si="4"/>
        <v>959406.23494514718</v>
      </c>
      <c r="AA6" s="4">
        <f t="shared" si="4"/>
        <v>965945.02709216089</v>
      </c>
      <c r="AB6" s="4">
        <f t="shared" si="4"/>
        <v>972528.38409729674</v>
      </c>
      <c r="AC6" s="4">
        <f t="shared" si="4"/>
        <v>979156.60969043861</v>
      </c>
      <c r="AD6" s="4">
        <f t="shared" si="4"/>
        <v>985830.00967152847</v>
      </c>
      <c r="AE6" s="4">
        <f t="shared" si="4"/>
        <v>992548.89192467451</v>
      </c>
      <c r="AF6" s="4">
        <f t="shared" si="4"/>
        <v>999313.56643235614</v>
      </c>
      <c r="AG6" s="4">
        <f t="shared" si="4"/>
        <v>1006124.3452897249</v>
      </c>
      <c r="AH6" s="4">
        <f t="shared" si="4"/>
        <v>1012981.5427190035</v>
      </c>
      <c r="AI6" s="4">
        <f t="shared" si="4"/>
        <v>1019885.4750839829</v>
      </c>
      <c r="AJ6" s="4">
        <f t="shared" si="4"/>
        <v>1026836.4609046179</v>
      </c>
      <c r="AK6" s="4">
        <f t="shared" si="4"/>
        <v>1033834.8208717223</v>
      </c>
      <c r="AL6" s="4">
        <f t="shared" si="4"/>
        <v>1040880.8778617645</v>
      </c>
      <c r="AM6" s="4">
        <f t="shared" si="4"/>
        <v>1047974.9569517637</v>
      </c>
      <c r="AN6" s="4">
        <f t="shared" si="4"/>
        <v>1055117.3854342876</v>
      </c>
      <c r="AO6" s="4">
        <f t="shared" si="4"/>
        <v>1062308.4928325524</v>
      </c>
      <c r="AP6" s="4">
        <f t="shared" si="4"/>
        <v>1069548.6109156255</v>
      </c>
      <c r="AQ6" s="4">
        <f t="shared" si="4"/>
        <v>1076838.0737137324</v>
      </c>
      <c r="AR6" s="4">
        <f t="shared" si="4"/>
        <v>1084177.2175336673</v>
      </c>
      <c r="AS6" s="4">
        <f t="shared" si="4"/>
        <v>1091566.3809743091</v>
      </c>
      <c r="AT6" s="4">
        <f t="shared" si="4"/>
        <v>1099005.9049422422</v>
      </c>
      <c r="AU6" s="4">
        <f t="shared" si="4"/>
        <v>1106496.1326674861</v>
      </c>
      <c r="AV6" s="4">
        <f t="shared" si="4"/>
        <v>1114037.4097193293</v>
      </c>
      <c r="AW6" s="4">
        <f t="shared" si="4"/>
        <v>1121630.0840222733</v>
      </c>
      <c r="AX6" s="4">
        <f t="shared" si="4"/>
        <v>1129274.5058720838</v>
      </c>
      <c r="AY6" s="4">
        <f t="shared" si="4"/>
        <v>1136971.0279519528</v>
      </c>
      <c r="AZ6" s="4">
        <f t="shared" si="4"/>
        <v>1144720.0053487688</v>
      </c>
      <c r="BA6" s="4">
        <f t="shared" si="4"/>
        <v>1152521.7955695004</v>
      </c>
      <c r="BB6" s="4">
        <f t="shared" si="4"/>
        <v>1160376.7585576896</v>
      </c>
      <c r="BC6" s="4">
        <f t="shared" si="4"/>
        <v>1168285.2567100578</v>
      </c>
      <c r="BD6" s="4">
        <f t="shared" si="4"/>
        <v>1176247.6548932262</v>
      </c>
      <c r="BE6" s="4">
        <f t="shared" si="4"/>
        <v>1184264.3204605486</v>
      </c>
      <c r="BF6" s="4">
        <f t="shared" si="4"/>
        <v>1192335.6232690599</v>
      </c>
      <c r="BG6" s="4">
        <f t="shared" si="4"/>
        <v>1200461.9356965399</v>
      </c>
      <c r="BH6" s="4">
        <f t="shared" si="4"/>
        <v>1208643.632658693</v>
      </c>
      <c r="BI6" s="4">
        <f t="shared" si="4"/>
        <v>1216881.0916264458</v>
      </c>
      <c r="BJ6" s="4">
        <f t="shared" si="4"/>
        <v>1225174.6926433616</v>
      </c>
      <c r="BK6" s="4">
        <f t="shared" si="4"/>
        <v>1233524.8183431746</v>
      </c>
      <c r="BL6" s="4">
        <f t="shared" si="4"/>
        <v>1241931.8539674429</v>
      </c>
      <c r="BM6" s="4">
        <f t="shared" ref="BM6:BM9" si="7">BN6/(1+((BO6/BN6)-1))</f>
        <v>1250396.1873833216</v>
      </c>
      <c r="BN6" s="4">
        <f t="shared" si="5"/>
        <v>1258918.2091014578</v>
      </c>
      <c r="BO6" s="4">
        <f t="shared" si="5"/>
        <v>1267498.3122940077</v>
      </c>
      <c r="BP6" s="4">
        <f t="shared" si="5"/>
        <v>1276136.8928127752</v>
      </c>
      <c r="BQ6" s="4">
        <f t="shared" si="5"/>
        <v>1284834.3492074751</v>
      </c>
      <c r="BR6" s="4">
        <f t="shared" si="5"/>
        <v>1293591.0827441209</v>
      </c>
      <c r="BS6" s="4">
        <f t="shared" si="6"/>
        <v>1302407.4974235375</v>
      </c>
      <c r="BT6" s="4">
        <v>1311284</v>
      </c>
      <c r="BU6" s="4">
        <v>1320221</v>
      </c>
      <c r="BV6" s="4">
        <v>1329700</v>
      </c>
      <c r="BW6" s="4">
        <v>1338899</v>
      </c>
      <c r="BX6" s="4">
        <v>1348096</v>
      </c>
      <c r="BY6" s="4">
        <v>1354971</v>
      </c>
      <c r="BZ6" s="4">
        <v>1361874</v>
      </c>
      <c r="CA6" s="4">
        <v>1369050</v>
      </c>
      <c r="CB6" s="4">
        <v>1375244</v>
      </c>
      <c r="CC6" s="4">
        <v>1381011</v>
      </c>
      <c r="CD6" s="4">
        <v>1385878</v>
      </c>
      <c r="CE6" s="4">
        <v>1391237</v>
      </c>
      <c r="CF6" s="4">
        <v>1397817</v>
      </c>
      <c r="CG6" s="4">
        <v>1403032</v>
      </c>
      <c r="CH6" s="4">
        <v>1410377</v>
      </c>
      <c r="CI6" s="4">
        <v>1418564</v>
      </c>
      <c r="CJ6" s="4">
        <v>1427370</v>
      </c>
      <c r="CK6" s="4">
        <v>1436900</v>
      </c>
      <c r="CL6" s="4">
        <v>1447254</v>
      </c>
      <c r="CM6" s="4">
        <v>1459019</v>
      </c>
      <c r="CN6" s="4">
        <v>1468413</v>
      </c>
      <c r="CO6" s="4">
        <v>1477398</v>
      </c>
      <c r="CP6" s="4">
        <v>1486905</v>
      </c>
      <c r="CQ6" s="4">
        <v>1496248</v>
      </c>
      <c r="CR6" s="4">
        <v>1505294</v>
      </c>
      <c r="CS6" s="4">
        <v>1513355</v>
      </c>
      <c r="CT6" s="4">
        <v>1525576</v>
      </c>
      <c r="CU6" s="4">
        <v>1535167</v>
      </c>
      <c r="CV6" s="4">
        <v>1548042</v>
      </c>
      <c r="CW6" s="4">
        <v>1558914</v>
      </c>
      <c r="CX6" s="4">
        <v>1569712</v>
      </c>
      <c r="CY6" s="4">
        <v>1578434</v>
      </c>
      <c r="CZ6" s="4">
        <v>1588186</v>
      </c>
      <c r="DA6" s="4">
        <v>1596225</v>
      </c>
      <c r="DB6" s="4">
        <v>1605959</v>
      </c>
      <c r="DC6" s="4">
        <v>1613049</v>
      </c>
      <c r="DD6" s="4">
        <v>1619848</v>
      </c>
      <c r="DE6" s="4">
        <v>1624390</v>
      </c>
      <c r="DF6" s="4">
        <v>1631357</v>
      </c>
      <c r="DG6" s="4">
        <v>1636067</v>
      </c>
      <c r="DH6" s="4">
        <v>1642746</v>
      </c>
      <c r="DI6" s="4">
        <v>1647408</v>
      </c>
      <c r="DJ6" s="4">
        <v>1654244</v>
      </c>
      <c r="DK6" s="4">
        <v>1658544</v>
      </c>
      <c r="DL6" s="4">
        <v>1664755</v>
      </c>
      <c r="DM6" s="4">
        <v>1668515</v>
      </c>
      <c r="DN6" s="4">
        <v>1674250</v>
      </c>
      <c r="DO6" s="4">
        <v>1678722</v>
      </c>
      <c r="DP6" s="4">
        <v>1684972</v>
      </c>
      <c r="DQ6" s="4">
        <v>1690348</v>
      </c>
      <c r="DR6" s="4">
        <v>1698534</v>
      </c>
      <c r="DS6" s="4">
        <v>1704649</v>
      </c>
      <c r="DT6" s="4">
        <v>1713520</v>
      </c>
      <c r="DU6" s="4">
        <v>1718549</v>
      </c>
      <c r="DV6" s="4">
        <v>1727907</v>
      </c>
      <c r="DW6" s="4">
        <v>1736066</v>
      </c>
      <c r="DX6" s="4">
        <v>1744788</v>
      </c>
      <c r="DY6" s="4">
        <v>1751933</v>
      </c>
      <c r="DZ6" s="4">
        <v>1760445</v>
      </c>
      <c r="EA6" s="4">
        <v>1768206</v>
      </c>
      <c r="EB6" s="4">
        <v>1776454</v>
      </c>
      <c r="EC6" s="4">
        <v>1783556</v>
      </c>
      <c r="ED6" s="4">
        <v>1793345</v>
      </c>
      <c r="EE6" s="4">
        <v>1798341</v>
      </c>
      <c r="EF6" s="4">
        <v>1804800</v>
      </c>
      <c r="EG6" s="4">
        <v>1810928</v>
      </c>
      <c r="EH6" s="4">
        <v>1820812</v>
      </c>
      <c r="EI6" s="4">
        <v>1826440</v>
      </c>
      <c r="EJ6" s="4">
        <v>1834703</v>
      </c>
      <c r="EK6" s="4">
        <v>1840078</v>
      </c>
      <c r="EL6" s="4">
        <v>1848303</v>
      </c>
      <c r="EM6" s="4">
        <v>1853936</v>
      </c>
      <c r="EN6" s="4">
        <v>1862033</v>
      </c>
      <c r="EO6" s="4">
        <v>1866265</v>
      </c>
      <c r="EP6" s="4">
        <v>1874371</v>
      </c>
      <c r="EQ6" s="4">
        <v>1879093</v>
      </c>
      <c r="ER6" s="4">
        <v>1886084</v>
      </c>
      <c r="ES6" s="4">
        <v>1892531</v>
      </c>
      <c r="ET6" s="4">
        <v>1901295</v>
      </c>
      <c r="EU6" s="4">
        <v>1906274</v>
      </c>
      <c r="EV6" s="4">
        <v>1912214</v>
      </c>
      <c r="EW6" s="4">
        <v>1917752</v>
      </c>
      <c r="EX6" s="4">
        <v>1924935</v>
      </c>
      <c r="EY6" s="4">
        <v>1928512</v>
      </c>
      <c r="EZ6" s="4">
        <v>1932977</v>
      </c>
      <c r="FA6" s="4">
        <v>1938610</v>
      </c>
      <c r="FB6" s="4">
        <v>1946831</v>
      </c>
      <c r="FC6" s="4">
        <v>1952741</v>
      </c>
      <c r="FD6" s="4">
        <v>1959430</v>
      </c>
      <c r="FE6" s="4">
        <v>1966130</v>
      </c>
      <c r="FF6" s="4">
        <v>1974145</v>
      </c>
      <c r="FG6" s="4">
        <v>1979542</v>
      </c>
      <c r="FH6" s="4">
        <v>1986513</v>
      </c>
      <c r="FI6" s="4">
        <v>1994241</v>
      </c>
      <c r="FJ6" s="4">
        <v>2004644</v>
      </c>
      <c r="FK6" s="4">
        <v>2011207</v>
      </c>
      <c r="FL6" s="4">
        <v>2020359</v>
      </c>
      <c r="FM6" s="4">
        <v>2029936</v>
      </c>
      <c r="FN6" s="4">
        <v>2042450</v>
      </c>
      <c r="FO6" s="4">
        <v>2050581</v>
      </c>
      <c r="FP6" s="4">
        <v>2064032</v>
      </c>
      <c r="FQ6" s="4">
        <v>2076867</v>
      </c>
      <c r="FR6" s="4">
        <v>2093633</v>
      </c>
      <c r="FS6" s="4">
        <v>2106139</v>
      </c>
      <c r="FT6" s="4">
        <v>2120776</v>
      </c>
      <c r="FU6" s="4">
        <v>2135006</v>
      </c>
      <c r="FV6" s="4">
        <v>2155552</v>
      </c>
      <c r="FW6" s="4">
        <v>2171700</v>
      </c>
      <c r="FX6" s="4">
        <v>2191582</v>
      </c>
      <c r="FY6" s="4">
        <v>2208928</v>
      </c>
      <c r="FZ6" s="4">
        <v>2228317</v>
      </c>
      <c r="GA6" s="4">
        <v>2240250</v>
      </c>
      <c r="GB6" s="4">
        <v>2253355</v>
      </c>
      <c r="GC6" s="4">
        <v>2263747</v>
      </c>
      <c r="GD6" s="4">
        <v>2278589</v>
      </c>
      <c r="GE6" s="4">
        <v>2290845</v>
      </c>
      <c r="GF6" s="4">
        <v>2305415</v>
      </c>
      <c r="GG6" s="4">
        <v>2319063</v>
      </c>
      <c r="GH6" s="4">
        <v>2337611</v>
      </c>
      <c r="GI6" s="4">
        <v>2353409</v>
      </c>
      <c r="GJ6" s="4">
        <v>2369612</v>
      </c>
      <c r="GK6" s="4">
        <v>2385947</v>
      </c>
      <c r="GL6" s="4">
        <v>2408108</v>
      </c>
      <c r="GM6" s="4">
        <v>2425507</v>
      </c>
      <c r="GN6" s="4">
        <v>2442876</v>
      </c>
      <c r="GO6" s="4">
        <v>2457489</v>
      </c>
      <c r="GP6" s="4">
        <v>2475242</v>
      </c>
      <c r="GQ6" s="4">
        <v>2486944</v>
      </c>
      <c r="GR6" s="4">
        <v>2496285</v>
      </c>
      <c r="GS6" s="4">
        <v>2502188</v>
      </c>
      <c r="GT6" s="4">
        <v>2512556</v>
      </c>
      <c r="GU6" s="4">
        <v>2517608</v>
      </c>
      <c r="GV6" s="4">
        <v>2524042</v>
      </c>
      <c r="GW6" s="4">
        <v>2528619</v>
      </c>
      <c r="GX6" s="4">
        <v>2536604</v>
      </c>
    </row>
    <row r="7" spans="1:206">
      <c r="A7" s="3" t="s">
        <v>28</v>
      </c>
      <c r="B7" s="4">
        <f t="shared" ref="B7:B9" si="8">C7/(1+((D7/C7)-1))</f>
        <v>403594.54207700596</v>
      </c>
      <c r="C7" s="4">
        <f t="shared" ref="C7:C9" si="9">D7/(1+((E7/D7)-1))</f>
        <v>403932.18733274838</v>
      </c>
      <c r="D7" s="4">
        <f t="shared" ref="D7:D9" si="10">E7/(1+((F7/E7)-1))</f>
        <v>404270.11506089033</v>
      </c>
      <c r="E7" s="4">
        <f t="shared" ref="E7:E9" si="11">F7/(1+((G7/F7)-1))</f>
        <v>404608.32549774682</v>
      </c>
      <c r="F7" s="4">
        <f t="shared" ref="F7:F9" si="12">G7/(1+((H7/G7)-1))</f>
        <v>404946.81887983059</v>
      </c>
      <c r="G7" s="4">
        <f t="shared" ref="G7:G9" si="13">H7/(1+((I7/H7)-1))</f>
        <v>405285.5954438523</v>
      </c>
      <c r="H7" s="4">
        <f t="shared" ref="H7:H9" si="14">I7/(1+((J7/I7)-1))</f>
        <v>405624.65542672056</v>
      </c>
      <c r="I7" s="4">
        <f t="shared" ref="I7:I9" si="15">J7/(1+((K7/J7)-1))</f>
        <v>405963.99906554224</v>
      </c>
      <c r="J7" s="4">
        <f t="shared" ref="J7:J9" si="16">K7/(1+((L7/K7)-1))</f>
        <v>406303.62659762258</v>
      </c>
      <c r="K7" s="4">
        <f t="shared" ref="K7:K9" si="17">L7/(1+((M7/L7)-1))</f>
        <v>406643.53826046531</v>
      </c>
      <c r="L7" s="4">
        <f t="shared" ref="L7:L9" si="18">M7/(1+((N7/M7)-1))</f>
        <v>406983.73429177282</v>
      </c>
      <c r="M7" s="4">
        <f t="shared" ref="M7:M9" si="19">N7/(1+((O7/N7)-1))</f>
        <v>407324.2149294464</v>
      </c>
      <c r="N7" s="4">
        <f t="shared" ref="N7:N9" si="20">O7/(1+((P7/O7)-1))</f>
        <v>407664.98041158641</v>
      </c>
      <c r="O7" s="4">
        <f t="shared" ref="O7:O9" si="21">P7/(1+((Q7/P7)-1))</f>
        <v>408006.03097649233</v>
      </c>
      <c r="P7" s="4">
        <f t="shared" ref="P7:P9" si="22">Q7/(1+((R7/Q7)-1))</f>
        <v>408347.36686266301</v>
      </c>
      <c r="Q7" s="4">
        <f t="shared" ref="Q7:Q9" si="23">R7/(1+((S7/R7)-1))</f>
        <v>408688.98830879689</v>
      </c>
      <c r="R7" s="4">
        <f t="shared" ref="R7:R9" si="24">S7/(1+((T7/S7)-1))</f>
        <v>409030.89555379207</v>
      </c>
      <c r="S7" s="4">
        <f t="shared" ref="S7:S9" si="25">T7/(1+((U7/T7)-1))</f>
        <v>409373.08883674646</v>
      </c>
      <c r="T7" s="4">
        <f t="shared" ref="T7:T9" si="26">U7/(1+((V7/U7)-1))</f>
        <v>409715.56839695812</v>
      </c>
      <c r="U7" s="4">
        <f t="shared" ref="U7:U9" si="27">V7/(1+((W7/V7)-1))</f>
        <v>410058.33447392518</v>
      </c>
      <c r="V7" s="4">
        <f t="shared" ref="V7:V9" si="28">W7/(1+((X7/W7)-1))</f>
        <v>410401.38730734616</v>
      </c>
      <c r="W7" s="4">
        <f t="shared" ref="W7:W9" si="29">X7/(1+((Y7/X7)-1))</f>
        <v>410744.72713712015</v>
      </c>
      <c r="X7" s="4">
        <f t="shared" ref="X7:X9" si="30">Y7/(1+((Z7/Y7)-1))</f>
        <v>411088.35420334694</v>
      </c>
      <c r="Y7" s="4">
        <f t="shared" ref="Y7:Y9" si="31">Z7/(1+((AA7/Z7)-1))</f>
        <v>411432.26874632714</v>
      </c>
      <c r="Z7" s="4">
        <f t="shared" ref="Z7:Z9" si="32">AA7/(1+((AB7/AA7)-1))</f>
        <v>411776.47100656247</v>
      </c>
      <c r="AA7" s="4">
        <f t="shared" ref="AA7:AA9" si="33">AB7/(1+((AC7/AB7)-1))</f>
        <v>412120.96122475574</v>
      </c>
      <c r="AB7" s="4">
        <f t="shared" ref="AB7:AB9" si="34">AC7/(1+((AD7/AC7)-1))</f>
        <v>412465.73964181123</v>
      </c>
      <c r="AC7" s="4">
        <f t="shared" ref="AC7:AC9" si="35">AD7/(1+((AE7/AD7)-1))</f>
        <v>412810.80649883475</v>
      </c>
      <c r="AD7" s="4">
        <f t="shared" ref="AD7:AD9" si="36">AE7/(1+((AF7/AE7)-1))</f>
        <v>413156.16203713376</v>
      </c>
      <c r="AE7" s="4">
        <f t="shared" ref="AE7:AE9" si="37">AF7/(1+((AG7/AF7)-1))</f>
        <v>413501.80649821763</v>
      </c>
      <c r="AF7" s="4">
        <f t="shared" ref="AF7:AF9" si="38">AG7/(1+((AH7/AG7)-1))</f>
        <v>413847.74012379773</v>
      </c>
      <c r="AG7" s="4">
        <f t="shared" ref="AG7:AG9" si="39">AH7/(1+((AI7/AH7)-1))</f>
        <v>414193.96315578779</v>
      </c>
      <c r="AH7" s="4">
        <f t="shared" ref="AH7:AH9" si="40">AI7/(1+((AJ7/AI7)-1))</f>
        <v>414540.47583630373</v>
      </c>
      <c r="AI7" s="4">
        <f t="shared" ref="AI7:AI9" si="41">AJ7/(1+((AK7/AJ7)-1))</f>
        <v>414887.27840766415</v>
      </c>
      <c r="AJ7" s="4">
        <f t="shared" ref="AJ7:AJ9" si="42">AK7/(1+((AL7/AK7)-1))</f>
        <v>415234.37111239036</v>
      </c>
      <c r="AK7" s="4">
        <f t="shared" ref="AK7:AK9" si="43">AL7/(1+((AM7/AL7)-1))</f>
        <v>415581.75419320649</v>
      </c>
      <c r="AL7" s="4">
        <f t="shared" ref="AL7:AL9" si="44">AM7/(1+((AN7/AM7)-1))</f>
        <v>415929.42789303983</v>
      </c>
      <c r="AM7" s="4">
        <f t="shared" ref="AM7:AM9" si="45">AN7/(1+((AO7/AN7)-1))</f>
        <v>416277.39245502086</v>
      </c>
      <c r="AN7" s="4">
        <f t="shared" ref="AN7:AN9" si="46">AO7/(1+((AP7/AO7)-1))</f>
        <v>416625.6481224834</v>
      </c>
      <c r="AO7" s="4">
        <f t="shared" ref="AO7:AO9" si="47">AP7/(1+((AQ7/AP7)-1))</f>
        <v>416974.19513896492</v>
      </c>
      <c r="AP7" s="4">
        <f t="shared" ref="AP7:AP9" si="48">AQ7/(1+((AR7/AQ7)-1))</f>
        <v>417323.03374820662</v>
      </c>
      <c r="AQ7" s="4">
        <f t="shared" ref="AQ7:AQ9" si="49">AR7/(1+((AS7/AR7)-1))</f>
        <v>417672.16419415362</v>
      </c>
      <c r="AR7" s="4">
        <f t="shared" ref="AR7:AR9" si="50">AS7/(1+((AT7/AS7)-1))</f>
        <v>418021.58672095509</v>
      </c>
      <c r="AS7" s="4">
        <f t="shared" ref="AS7:AS9" si="51">AT7/(1+((AU7/AT7)-1))</f>
        <v>418371.30157296447</v>
      </c>
      <c r="AT7" s="4">
        <f t="shared" ref="AT7:AT9" si="52">AU7/(1+((AV7/AU7)-1))</f>
        <v>418721.30899473961</v>
      </c>
      <c r="AU7" s="4">
        <f t="shared" ref="AU7:AU9" si="53">AV7/(1+((AW7/AV7)-1))</f>
        <v>419071.60923104302</v>
      </c>
      <c r="AV7" s="4">
        <f t="shared" ref="AV7:AV9" si="54">AW7/(1+((AX7/AW7)-1))</f>
        <v>419422.20252684189</v>
      </c>
      <c r="AW7" s="4">
        <f t="shared" ref="AW7:AW9" si="55">AX7/(1+((AY7/AX7)-1))</f>
        <v>419773.0891273084</v>
      </c>
      <c r="AX7" s="4">
        <f t="shared" ref="AX7:AX9" si="56">AY7/(1+((AZ7/AY7)-1))</f>
        <v>420124.26927781978</v>
      </c>
      <c r="AY7" s="4">
        <f t="shared" ref="AY7:AY9" si="57">AZ7/(1+((BA7/AZ7)-1))</f>
        <v>420475.74322395865</v>
      </c>
      <c r="AZ7" s="4">
        <f t="shared" ref="AZ7:AZ9" si="58">BA7/(1+((BB7/BA7)-1))</f>
        <v>420827.51121151302</v>
      </c>
      <c r="BA7" s="4">
        <f t="shared" ref="BA7:BA9" si="59">BB7/(1+((BC7/BB7)-1))</f>
        <v>421179.5734864765</v>
      </c>
      <c r="BB7" s="4">
        <f t="shared" ref="BB7:BB9" si="60">BC7/(1+((BD7/BC7)-1))</f>
        <v>421531.93029504851</v>
      </c>
      <c r="BC7" s="4">
        <f t="shared" ref="BC7:BC9" si="61">BD7/(1+((BE7/BD7)-1))</f>
        <v>421884.58188363444</v>
      </c>
      <c r="BD7" s="4">
        <f t="shared" ref="BD7:BD9" si="62">BE7/(1+((BF7/BE7)-1))</f>
        <v>422237.52849884587</v>
      </c>
      <c r="BE7" s="4">
        <f t="shared" ref="BE7:BE9" si="63">BF7/(1+((BG7/BF7)-1))</f>
        <v>422590.77038750064</v>
      </c>
      <c r="BF7" s="4">
        <f t="shared" ref="BF7:BF9" si="64">BG7/(1+((BH7/BG7)-1))</f>
        <v>422944.30779662315</v>
      </c>
      <c r="BG7" s="4">
        <f t="shared" ref="BG7:BG9" si="65">BH7/(1+((BI7/BH7)-1))</f>
        <v>423298.14097344433</v>
      </c>
      <c r="BH7" s="4">
        <f t="shared" ref="BH7:BH9" si="66">BI7/(1+((BJ7/BI7)-1))</f>
        <v>423652.27016540203</v>
      </c>
      <c r="BI7" s="4">
        <f t="shared" ref="BI7:BI9" si="67">BJ7/(1+((BK7/BJ7)-1))</f>
        <v>424006.69562014111</v>
      </c>
      <c r="BJ7" s="4">
        <f t="shared" ref="BJ7:BJ9" si="68">BK7/(1+((BL7/BK7)-1))</f>
        <v>424361.41758551361</v>
      </c>
      <c r="BK7" s="4">
        <f t="shared" ref="BK7:BK9" si="69">BL7/(1+((BM7/BL7)-1))</f>
        <v>424716.43630957889</v>
      </c>
      <c r="BL7" s="4">
        <f t="shared" ref="BL7:BL9" si="70">BM7/(1+((BN7/BM7)-1))</f>
        <v>425071.75204060384</v>
      </c>
      <c r="BM7" s="4">
        <f t="shared" si="7"/>
        <v>425427.36502706306</v>
      </c>
      <c r="BN7" s="4">
        <f t="shared" si="5"/>
        <v>425783.27551763901</v>
      </c>
      <c r="BO7" s="4">
        <f t="shared" si="5"/>
        <v>426139.48376122216</v>
      </c>
      <c r="BP7" s="4">
        <f t="shared" si="5"/>
        <v>426495.99000691134</v>
      </c>
      <c r="BQ7" s="4">
        <f t="shared" si="5"/>
        <v>426852.79450401361</v>
      </c>
      <c r="BR7" s="4">
        <f t="shared" si="5"/>
        <v>427209.89750204468</v>
      </c>
      <c r="BS7" s="4">
        <f t="shared" si="6"/>
        <v>427567.29925072903</v>
      </c>
      <c r="BT7" s="4">
        <v>427925</v>
      </c>
      <c r="BU7" s="4">
        <v>428283</v>
      </c>
      <c r="BV7" s="4">
        <v>429445</v>
      </c>
      <c r="BW7" s="4">
        <v>429845</v>
      </c>
      <c r="BX7" s="4">
        <v>430308</v>
      </c>
      <c r="BY7" s="4">
        <v>430974</v>
      </c>
      <c r="BZ7" s="4">
        <v>431665</v>
      </c>
      <c r="CA7" s="4">
        <v>432805</v>
      </c>
      <c r="CB7" s="4">
        <v>433909</v>
      </c>
      <c r="CC7" s="4">
        <v>435100</v>
      </c>
      <c r="CD7" s="4">
        <v>436178</v>
      </c>
      <c r="CE7" s="4">
        <v>437760</v>
      </c>
      <c r="CF7" s="4">
        <v>438866</v>
      </c>
      <c r="CG7" s="4">
        <v>440070</v>
      </c>
      <c r="CH7" s="4">
        <v>441324</v>
      </c>
      <c r="CI7" s="4">
        <v>442828</v>
      </c>
      <c r="CJ7" s="4">
        <v>443548</v>
      </c>
      <c r="CK7" s="4">
        <v>444576</v>
      </c>
      <c r="CL7" s="4">
        <v>445723</v>
      </c>
      <c r="CM7" s="4">
        <v>446473</v>
      </c>
      <c r="CN7" s="4">
        <v>447325</v>
      </c>
      <c r="CO7" s="4">
        <v>448235</v>
      </c>
      <c r="CP7" s="4">
        <v>448597</v>
      </c>
      <c r="CQ7" s="4">
        <v>449226</v>
      </c>
      <c r="CR7" s="4">
        <v>449373</v>
      </c>
      <c r="CS7" s="4">
        <v>449820</v>
      </c>
      <c r="CT7" s="4">
        <v>450572</v>
      </c>
      <c r="CU7" s="4">
        <v>451148</v>
      </c>
      <c r="CV7" s="4">
        <v>451905</v>
      </c>
      <c r="CW7" s="4">
        <v>452781</v>
      </c>
      <c r="CX7" s="4">
        <v>453932</v>
      </c>
      <c r="CY7" s="4">
        <v>455258</v>
      </c>
      <c r="CZ7" s="4">
        <v>456830</v>
      </c>
      <c r="DA7" s="4">
        <v>458410</v>
      </c>
      <c r="DB7" s="4">
        <v>460070</v>
      </c>
      <c r="DC7" s="4">
        <v>462188</v>
      </c>
      <c r="DD7" s="4">
        <v>463469</v>
      </c>
      <c r="DE7" s="4">
        <v>464520</v>
      </c>
      <c r="DF7" s="4">
        <v>465870</v>
      </c>
      <c r="DG7" s="4">
        <v>466802</v>
      </c>
      <c r="DH7" s="4">
        <v>467736</v>
      </c>
      <c r="DI7" s="4">
        <v>468549</v>
      </c>
      <c r="DJ7" s="4">
        <v>469433</v>
      </c>
      <c r="DK7" s="4">
        <v>469979</v>
      </c>
      <c r="DL7" s="4">
        <v>470443</v>
      </c>
      <c r="DM7" s="4">
        <v>471258</v>
      </c>
      <c r="DN7" s="4">
        <v>471864</v>
      </c>
      <c r="DO7" s="4">
        <v>471987</v>
      </c>
      <c r="DP7" s="4">
        <v>472574</v>
      </c>
      <c r="DQ7" s="4">
        <v>472983</v>
      </c>
      <c r="DR7" s="4">
        <v>473143</v>
      </c>
      <c r="DS7" s="4">
        <v>473499</v>
      </c>
      <c r="DT7" s="4">
        <v>473972</v>
      </c>
      <c r="DU7" s="4">
        <v>474076</v>
      </c>
      <c r="DV7" s="4">
        <v>474411</v>
      </c>
      <c r="DW7" s="4">
        <v>474515</v>
      </c>
      <c r="DX7" s="4">
        <v>474941</v>
      </c>
      <c r="DY7" s="4">
        <v>475148</v>
      </c>
      <c r="DZ7" s="4">
        <v>475282</v>
      </c>
      <c r="EA7" s="4">
        <v>475605</v>
      </c>
      <c r="EB7" s="4">
        <v>475731</v>
      </c>
      <c r="EC7" s="4">
        <v>475529</v>
      </c>
      <c r="ED7" s="4">
        <v>475444</v>
      </c>
      <c r="EE7" s="4">
        <v>474908</v>
      </c>
      <c r="EF7" s="4">
        <v>474528</v>
      </c>
      <c r="EG7" s="4">
        <v>474215</v>
      </c>
      <c r="EH7" s="4">
        <v>473982</v>
      </c>
      <c r="EI7" s="4">
        <v>473430</v>
      </c>
      <c r="EJ7" s="4">
        <v>473430</v>
      </c>
      <c r="EK7" s="4">
        <v>473450</v>
      </c>
      <c r="EL7" s="4">
        <v>473189</v>
      </c>
      <c r="EM7" s="4">
        <v>473030</v>
      </c>
      <c r="EN7" s="4">
        <v>473181</v>
      </c>
      <c r="EO7" s="4">
        <v>473294</v>
      </c>
      <c r="EP7" s="4">
        <v>473303</v>
      </c>
      <c r="EQ7" s="4">
        <v>473123</v>
      </c>
      <c r="ER7" s="4">
        <v>473035</v>
      </c>
      <c r="ES7" s="4">
        <v>473200</v>
      </c>
      <c r="ET7" s="4">
        <v>473662</v>
      </c>
      <c r="EU7" s="4">
        <v>473668</v>
      </c>
      <c r="EV7" s="4">
        <v>473530</v>
      </c>
      <c r="EW7" s="4">
        <v>473890</v>
      </c>
      <c r="EX7" s="4">
        <v>474218</v>
      </c>
      <c r="EY7" s="4">
        <v>474152</v>
      </c>
      <c r="EZ7" s="4">
        <v>474626</v>
      </c>
      <c r="FA7" s="4">
        <v>475998</v>
      </c>
      <c r="FB7" s="4">
        <v>477576</v>
      </c>
      <c r="FC7" s="4">
        <v>478534</v>
      </c>
      <c r="FD7" s="4">
        <v>479829</v>
      </c>
      <c r="FE7" s="4">
        <v>481411</v>
      </c>
      <c r="FF7" s="4">
        <v>482778</v>
      </c>
      <c r="FG7" s="4">
        <v>483178</v>
      </c>
      <c r="FH7" s="4">
        <v>483995</v>
      </c>
      <c r="FI7" s="4">
        <v>484778</v>
      </c>
      <c r="FJ7" s="4">
        <v>485755</v>
      </c>
      <c r="FK7" s="4">
        <v>486202</v>
      </c>
      <c r="FL7" s="4">
        <v>486893</v>
      </c>
      <c r="FM7" s="4">
        <v>488098</v>
      </c>
      <c r="FN7" s="4">
        <v>489140</v>
      </c>
      <c r="FO7" s="4">
        <v>489302</v>
      </c>
      <c r="FP7" s="4">
        <v>490354</v>
      </c>
      <c r="FQ7" s="4">
        <v>491515</v>
      </c>
      <c r="FR7" s="4">
        <v>492625</v>
      </c>
      <c r="FS7" s="4">
        <v>493262</v>
      </c>
      <c r="FT7" s="4">
        <v>494547</v>
      </c>
      <c r="FU7" s="4">
        <v>495858</v>
      </c>
      <c r="FV7" s="4">
        <v>497552</v>
      </c>
      <c r="FW7" s="4">
        <v>498568</v>
      </c>
      <c r="FX7" s="4">
        <v>500062</v>
      </c>
      <c r="FY7" s="4">
        <v>501774</v>
      </c>
      <c r="FZ7" s="4">
        <v>503431</v>
      </c>
      <c r="GA7" s="4">
        <v>504353</v>
      </c>
      <c r="GB7" s="4">
        <v>505468</v>
      </c>
      <c r="GC7" s="4">
        <v>506461</v>
      </c>
      <c r="GD7" s="4">
        <v>508182</v>
      </c>
      <c r="GE7" s="4">
        <v>508847</v>
      </c>
      <c r="GF7" s="4">
        <v>509481</v>
      </c>
      <c r="GG7" s="4">
        <v>510219</v>
      </c>
      <c r="GH7" s="4">
        <v>511248</v>
      </c>
      <c r="GI7" s="4">
        <v>511483</v>
      </c>
      <c r="GJ7" s="4">
        <v>511880</v>
      </c>
      <c r="GK7" s="4">
        <v>511739</v>
      </c>
      <c r="GL7" s="4">
        <v>511993</v>
      </c>
      <c r="GM7" s="4">
        <v>511724</v>
      </c>
      <c r="GN7" s="4">
        <v>511582</v>
      </c>
      <c r="GO7" s="4">
        <v>511813</v>
      </c>
      <c r="GP7" s="4">
        <v>512240</v>
      </c>
      <c r="GQ7" s="4">
        <v>512231</v>
      </c>
      <c r="GR7" s="4">
        <v>512510</v>
      </c>
      <c r="GS7" s="4">
        <v>513015</v>
      </c>
      <c r="GT7" s="4">
        <v>513681</v>
      </c>
      <c r="GU7" s="4">
        <v>513621</v>
      </c>
      <c r="GV7" s="4">
        <v>513898</v>
      </c>
      <c r="GW7" s="4">
        <v>514040</v>
      </c>
      <c r="GX7" s="4">
        <v>514812</v>
      </c>
    </row>
    <row r="8" spans="1:206">
      <c r="A8" s="3" t="s">
        <v>134</v>
      </c>
      <c r="B8" s="4">
        <f t="shared" si="8"/>
        <v>30818.502230347211</v>
      </c>
      <c r="C8" s="4">
        <f t="shared" si="9"/>
        <v>31441.834293415279</v>
      </c>
      <c r="D8" s="4">
        <f t="shared" si="10"/>
        <v>32077.773810860737</v>
      </c>
      <c r="E8" s="4">
        <f t="shared" si="11"/>
        <v>32726.575779843683</v>
      </c>
      <c r="F8" s="4">
        <f t="shared" si="12"/>
        <v>33388.500355072254</v>
      </c>
      <c r="G8" s="4">
        <f t="shared" si="13"/>
        <v>34063.812953118701</v>
      </c>
      <c r="H8" s="4">
        <f t="shared" si="14"/>
        <v>34752.784358845347</v>
      </c>
      <c r="I8" s="4">
        <f t="shared" si="15"/>
        <v>35455.690833983113</v>
      </c>
      <c r="J8" s="4">
        <f t="shared" si="16"/>
        <v>36172.814227906114</v>
      </c>
      <c r="K8" s="4">
        <f t="shared" si="17"/>
        <v>36904.442090646822</v>
      </c>
      <c r="L8" s="4">
        <f t="shared" si="18"/>
        <v>37650.867788197007</v>
      </c>
      <c r="M8" s="4">
        <f t="shared" si="19"/>
        <v>38412.390620140788</v>
      </c>
      <c r="N8" s="4">
        <f t="shared" si="20"/>
        <v>39189.3159396669</v>
      </c>
      <c r="O8" s="4">
        <f t="shared" si="21"/>
        <v>39981.955276008317</v>
      </c>
      <c r="P8" s="4">
        <f t="shared" si="22"/>
        <v>40790.626459358318</v>
      </c>
      <c r="Q8" s="4">
        <f t="shared" si="23"/>
        <v>41615.653748313111</v>
      </c>
      <c r="R8" s="4">
        <f t="shared" si="24"/>
        <v>42457.367959892108</v>
      </c>
      <c r="S8" s="4">
        <f t="shared" si="25"/>
        <v>43316.106602187945</v>
      </c>
      <c r="T8" s="4">
        <f t="shared" si="26"/>
        <v>44192.214009699484</v>
      </c>
      <c r="U8" s="4">
        <f t="shared" si="27"/>
        <v>45086.041481402062</v>
      </c>
      <c r="V8" s="4">
        <f t="shared" si="28"/>
        <v>45997.947421610312</v>
      </c>
      <c r="W8" s="4">
        <f t="shared" si="29"/>
        <v>46928.297483690076</v>
      </c>
      <c r="X8" s="4">
        <f t="shared" si="30"/>
        <v>47877.464716677016</v>
      </c>
      <c r="Y8" s="4">
        <f t="shared" si="31"/>
        <v>48845.829714860723</v>
      </c>
      <c r="Z8" s="4">
        <f t="shared" si="32"/>
        <v>49833.780770394304</v>
      </c>
      <c r="AA8" s="4">
        <f t="shared" si="33"/>
        <v>50841.714028990616</v>
      </c>
      <c r="AB8" s="4">
        <f t="shared" si="34"/>
        <v>51870.033648767618</v>
      </c>
      <c r="AC8" s="4">
        <f t="shared" si="35"/>
        <v>52919.151962306503</v>
      </c>
      <c r="AD8" s="4">
        <f t="shared" si="36"/>
        <v>53989.489641987617</v>
      </c>
      <c r="AE8" s="4">
        <f t="shared" si="37"/>
        <v>55081.475868670408</v>
      </c>
      <c r="AF8" s="4">
        <f t="shared" si="38"/>
        <v>56195.548503785139</v>
      </c>
      <c r="AG8" s="4">
        <f t="shared" si="39"/>
        <v>57332.154264905264</v>
      </c>
      <c r="AH8" s="4">
        <f t="shared" si="40"/>
        <v>58491.748904870918</v>
      </c>
      <c r="AI8" s="4">
        <f t="shared" si="41"/>
        <v>59674.797394535359</v>
      </c>
      <c r="AJ8" s="4">
        <f t="shared" si="42"/>
        <v>60881.774109207632</v>
      </c>
      <c r="AK8" s="4">
        <f t="shared" si="43"/>
        <v>62113.163018866166</v>
      </c>
      <c r="AL8" s="4">
        <f t="shared" si="44"/>
        <v>63369.457882219649</v>
      </c>
      <c r="AM8" s="4">
        <f t="shared" si="45"/>
        <v>64651.162444692927</v>
      </c>
      <c r="AN8" s="4">
        <f t="shared" si="46"/>
        <v>65958.790640417385</v>
      </c>
      <c r="AO8" s="4">
        <f t="shared" si="47"/>
        <v>67292.866798306743</v>
      </c>
      <c r="AP8" s="4">
        <f t="shared" si="48"/>
        <v>68653.92585230089</v>
      </c>
      <c r="AQ8" s="4">
        <f t="shared" si="49"/>
        <v>70042.513555862199</v>
      </c>
      <c r="AR8" s="4">
        <f t="shared" si="50"/>
        <v>71459.186700810053</v>
      </c>
      <c r="AS8" s="4">
        <f t="shared" si="51"/>
        <v>72904.513340581674</v>
      </c>
      <c r="AT8" s="4">
        <f t="shared" si="52"/>
        <v>74379.073018008479</v>
      </c>
      <c r="AU8" s="4">
        <f t="shared" si="53"/>
        <v>75883.456997699483</v>
      </c>
      <c r="AV8" s="4">
        <f t="shared" si="54"/>
        <v>77418.268503124811</v>
      </c>
      <c r="AW8" s="4">
        <f t="shared" si="55"/>
        <v>78984.12295849451</v>
      </c>
      <c r="AX8" s="4">
        <f t="shared" si="56"/>
        <v>80581.648235529545</v>
      </c>
      <c r="AY8" s="4">
        <f t="shared" si="57"/>
        <v>82211.48490522393</v>
      </c>
      <c r="AZ8" s="4">
        <f t="shared" si="58"/>
        <v>83874.286494699001</v>
      </c>
      <c r="BA8" s="4">
        <f t="shared" si="59"/>
        <v>85570.71974925285</v>
      </c>
      <c r="BB8" s="4">
        <f t="shared" si="60"/>
        <v>87301.464899709827</v>
      </c>
      <c r="BC8" s="4">
        <f t="shared" si="61"/>
        <v>89067.215935177563</v>
      </c>
      <c r="BD8" s="4">
        <f t="shared" si="62"/>
        <v>90868.680881320659</v>
      </c>
      <c r="BE8" s="4">
        <f t="shared" si="63"/>
        <v>92706.582084262714</v>
      </c>
      <c r="BF8" s="4">
        <f t="shared" si="64"/>
        <v>94581.656500230572</v>
      </c>
      <c r="BG8" s="4">
        <f t="shared" si="65"/>
        <v>96494.65599105689</v>
      </c>
      <c r="BH8" s="4">
        <f t="shared" si="66"/>
        <v>98446.347625659444</v>
      </c>
      <c r="BI8" s="4">
        <f t="shared" si="67"/>
        <v>100437.51398761821</v>
      </c>
      <c r="BJ8" s="4">
        <f t="shared" si="68"/>
        <v>102468.95348897338</v>
      </c>
      <c r="BK8" s="4">
        <f t="shared" si="69"/>
        <v>104541.48069037034</v>
      </c>
      <c r="BL8" s="4">
        <f t="shared" si="70"/>
        <v>106655.92662767976</v>
      </c>
      <c r="BM8" s="4">
        <f t="shared" si="7"/>
        <v>108813.13914522393</v>
      </c>
      <c r="BN8" s="4">
        <f t="shared" si="5"/>
        <v>111013.9832357429</v>
      </c>
      <c r="BO8" s="4">
        <f t="shared" si="5"/>
        <v>113259.34138723668</v>
      </c>
      <c r="BP8" s="4">
        <f t="shared" si="5"/>
        <v>115550.11393682276</v>
      </c>
      <c r="BQ8" s="4">
        <f t="shared" si="5"/>
        <v>117887.21943175058</v>
      </c>
      <c r="BR8" s="4">
        <f t="shared" si="5"/>
        <v>120271.59499771796</v>
      </c>
      <c r="BS8" s="4">
        <f t="shared" si="6"/>
        <v>122704.19671463694</v>
      </c>
      <c r="BT8" s="4">
        <v>125186</v>
      </c>
      <c r="BU8" s="4">
        <v>127718</v>
      </c>
      <c r="BV8" s="4">
        <v>129593</v>
      </c>
      <c r="BW8" s="4">
        <v>130314</v>
      </c>
      <c r="BX8" s="4">
        <v>131517</v>
      </c>
      <c r="BY8" s="4">
        <v>132784</v>
      </c>
      <c r="BZ8" s="4">
        <v>134529</v>
      </c>
      <c r="CA8" s="4">
        <v>135916</v>
      </c>
      <c r="CB8" s="4">
        <v>137942</v>
      </c>
      <c r="CC8" s="4">
        <v>139519</v>
      </c>
      <c r="CD8" s="4">
        <v>140666</v>
      </c>
      <c r="CE8" s="4">
        <v>142154</v>
      </c>
      <c r="CF8" s="4">
        <v>143934</v>
      </c>
      <c r="CG8" s="4">
        <v>145293</v>
      </c>
      <c r="CH8" s="4">
        <v>146662</v>
      </c>
      <c r="CI8" s="4">
        <v>148536</v>
      </c>
      <c r="CJ8" s="4">
        <v>150596</v>
      </c>
      <c r="CK8" s="4">
        <v>152356</v>
      </c>
      <c r="CL8" s="4">
        <v>153284</v>
      </c>
      <c r="CM8" s="4">
        <v>154421</v>
      </c>
      <c r="CN8" s="4">
        <v>155571</v>
      </c>
      <c r="CO8" s="4">
        <v>156578</v>
      </c>
      <c r="CP8" s="4">
        <v>157775</v>
      </c>
      <c r="CQ8" s="4">
        <v>158205</v>
      </c>
      <c r="CR8" s="4">
        <v>159142</v>
      </c>
      <c r="CS8" s="4">
        <v>159040</v>
      </c>
      <c r="CT8" s="4">
        <v>158959</v>
      </c>
      <c r="CU8" s="4">
        <v>159026</v>
      </c>
      <c r="CV8" s="4">
        <v>159804</v>
      </c>
      <c r="CW8" s="4">
        <v>160536</v>
      </c>
      <c r="CX8" s="4">
        <v>161050</v>
      </c>
      <c r="CY8" s="4">
        <v>161179</v>
      </c>
      <c r="CZ8" s="4">
        <v>161674</v>
      </c>
      <c r="DA8" s="4">
        <v>162097</v>
      </c>
      <c r="DB8" s="4">
        <v>162538</v>
      </c>
      <c r="DC8" s="4">
        <v>163728</v>
      </c>
      <c r="DD8" s="4">
        <v>164392</v>
      </c>
      <c r="DE8" s="4">
        <v>165047</v>
      </c>
      <c r="DF8" s="4">
        <v>165356</v>
      </c>
      <c r="DG8" s="4">
        <v>165493</v>
      </c>
      <c r="DH8" s="4">
        <v>166716</v>
      </c>
      <c r="DI8" s="4">
        <v>167043</v>
      </c>
      <c r="DJ8" s="4">
        <v>168117</v>
      </c>
      <c r="DK8" s="4">
        <v>168546</v>
      </c>
      <c r="DL8" s="4">
        <v>169101</v>
      </c>
      <c r="DM8" s="4">
        <v>170420</v>
      </c>
      <c r="DN8" s="4">
        <v>171319</v>
      </c>
      <c r="DO8" s="4">
        <v>171708</v>
      </c>
      <c r="DP8" s="4">
        <v>172884</v>
      </c>
      <c r="DQ8" s="4">
        <v>173590</v>
      </c>
      <c r="DR8" s="4">
        <v>174237</v>
      </c>
      <c r="DS8" s="4">
        <v>174908</v>
      </c>
      <c r="DT8" s="4">
        <v>175543</v>
      </c>
      <c r="DU8" s="4">
        <v>176761</v>
      </c>
      <c r="DV8" s="4">
        <v>178692</v>
      </c>
      <c r="DW8" s="4">
        <v>179602</v>
      </c>
      <c r="DX8" s="4">
        <v>180698</v>
      </c>
      <c r="DY8" s="4">
        <v>182829</v>
      </c>
      <c r="DZ8" s="4">
        <v>183859</v>
      </c>
      <c r="EA8" s="4">
        <v>184516</v>
      </c>
      <c r="EB8" s="4">
        <v>186229</v>
      </c>
      <c r="EC8" s="4">
        <v>187342</v>
      </c>
      <c r="ED8" s="4">
        <v>188223</v>
      </c>
      <c r="EE8" s="4">
        <v>189755</v>
      </c>
      <c r="EF8" s="4">
        <v>190694</v>
      </c>
      <c r="EG8" s="4">
        <v>191259</v>
      </c>
      <c r="EH8" s="4">
        <v>192061</v>
      </c>
      <c r="EI8" s="4">
        <v>192905</v>
      </c>
      <c r="EJ8" s="4">
        <v>193703</v>
      </c>
      <c r="EK8" s="4">
        <v>194390</v>
      </c>
      <c r="EL8" s="4">
        <v>195251</v>
      </c>
      <c r="EM8" s="4">
        <v>196012</v>
      </c>
      <c r="EN8" s="4">
        <v>196807</v>
      </c>
      <c r="EO8" s="4">
        <v>197757</v>
      </c>
      <c r="EP8" s="4">
        <v>198304</v>
      </c>
      <c r="EQ8" s="4">
        <v>199149</v>
      </c>
      <c r="ER8" s="4">
        <v>199816</v>
      </c>
      <c r="ES8" s="4">
        <v>200045</v>
      </c>
      <c r="ET8" s="4">
        <v>200789</v>
      </c>
      <c r="EU8" s="4">
        <v>201743</v>
      </c>
      <c r="EV8" s="4">
        <v>201995</v>
      </c>
      <c r="EW8" s="4">
        <v>201751</v>
      </c>
      <c r="EX8" s="4">
        <v>201880</v>
      </c>
      <c r="EY8" s="4">
        <v>202251</v>
      </c>
      <c r="EZ8" s="4">
        <v>202069</v>
      </c>
      <c r="FA8" s="4">
        <v>201549</v>
      </c>
      <c r="FB8" s="4">
        <v>201068</v>
      </c>
      <c r="FC8" s="4">
        <v>201725</v>
      </c>
      <c r="FD8" s="4">
        <v>201781</v>
      </c>
      <c r="FE8" s="4">
        <v>201708</v>
      </c>
      <c r="FF8" s="4">
        <v>202009</v>
      </c>
      <c r="FG8" s="4">
        <v>202663</v>
      </c>
      <c r="FH8" s="4">
        <v>203527</v>
      </c>
      <c r="FI8" s="4">
        <v>203857</v>
      </c>
      <c r="FJ8" s="4">
        <v>204897</v>
      </c>
      <c r="FK8" s="4">
        <v>205905</v>
      </c>
      <c r="FL8" s="4">
        <v>206759</v>
      </c>
      <c r="FM8" s="4">
        <v>207385</v>
      </c>
      <c r="FN8" s="4">
        <v>208347</v>
      </c>
      <c r="FO8" s="4">
        <v>209057</v>
      </c>
      <c r="FP8" s="4">
        <v>210284</v>
      </c>
      <c r="FQ8" s="4">
        <v>211029</v>
      </c>
      <c r="FR8" s="4">
        <v>212372</v>
      </c>
      <c r="FS8" s="4">
        <v>213748</v>
      </c>
      <c r="FT8" s="4">
        <v>215180</v>
      </c>
      <c r="FU8" s="4">
        <v>216618</v>
      </c>
      <c r="FV8" s="4">
        <v>217912</v>
      </c>
      <c r="FW8" s="4">
        <v>219874</v>
      </c>
      <c r="FX8" s="4">
        <v>221464</v>
      </c>
      <c r="FY8" s="4">
        <v>222526</v>
      </c>
      <c r="FZ8" s="4">
        <v>223922</v>
      </c>
      <c r="GA8" s="4">
        <v>226027</v>
      </c>
      <c r="GB8" s="4">
        <v>227255</v>
      </c>
      <c r="GC8" s="4">
        <v>227783</v>
      </c>
      <c r="GD8" s="4">
        <v>228600</v>
      </c>
      <c r="GE8" s="4">
        <v>229778</v>
      </c>
      <c r="GF8" s="4">
        <v>230460</v>
      </c>
      <c r="GG8" s="4">
        <v>230299</v>
      </c>
      <c r="GH8" s="4">
        <v>230224</v>
      </c>
      <c r="GI8" s="4">
        <v>231292</v>
      </c>
      <c r="GJ8" s="4">
        <v>232581</v>
      </c>
      <c r="GK8" s="4">
        <v>232952</v>
      </c>
      <c r="GL8" s="4">
        <v>234275</v>
      </c>
      <c r="GM8" s="4">
        <v>235915</v>
      </c>
      <c r="GN8" s="4">
        <v>237517</v>
      </c>
      <c r="GO8" s="4">
        <v>238728</v>
      </c>
      <c r="GP8" s="4">
        <v>240107</v>
      </c>
      <c r="GQ8" s="4">
        <v>241722</v>
      </c>
      <c r="GR8" s="4">
        <v>242301</v>
      </c>
      <c r="GS8" s="4">
        <v>242304</v>
      </c>
      <c r="GT8" s="4">
        <v>242790</v>
      </c>
      <c r="GU8" s="4">
        <v>242894</v>
      </c>
      <c r="GV8" s="4">
        <v>243201</v>
      </c>
      <c r="GW8" s="4">
        <v>242753</v>
      </c>
      <c r="GX8" s="4">
        <v>243059</v>
      </c>
    </row>
    <row r="9" spans="1:206">
      <c r="A9" s="3" t="s">
        <v>103</v>
      </c>
      <c r="B9" s="4">
        <f t="shared" si="8"/>
        <v>184621.69143129393</v>
      </c>
      <c r="C9" s="4">
        <f t="shared" si="9"/>
        <v>185188.18891529515</v>
      </c>
      <c r="D9" s="4">
        <f t="shared" si="10"/>
        <v>185756.42465332759</v>
      </c>
      <c r="E9" s="4">
        <f t="shared" si="11"/>
        <v>186326.40397909025</v>
      </c>
      <c r="F9" s="4">
        <f t="shared" si="12"/>
        <v>186898.13224264822</v>
      </c>
      <c r="G9" s="4">
        <f t="shared" si="13"/>
        <v>187471.61481048283</v>
      </c>
      <c r="H9" s="4">
        <f t="shared" si="14"/>
        <v>188046.85706554205</v>
      </c>
      <c r="I9" s="4">
        <f t="shared" si="15"/>
        <v>188623.864407291</v>
      </c>
      <c r="J9" s="4">
        <f t="shared" si="16"/>
        <v>189202.64225176265</v>
      </c>
      <c r="K9" s="4">
        <f t="shared" si="17"/>
        <v>189783.19603160868</v>
      </c>
      <c r="L9" s="4">
        <f t="shared" si="18"/>
        <v>190365.5311961504</v>
      </c>
      <c r="M9" s="4">
        <f t="shared" si="19"/>
        <v>190949.65321143001</v>
      </c>
      <c r="N9" s="4">
        <f t="shared" si="20"/>
        <v>191535.56756026173</v>
      </c>
      <c r="O9" s="4">
        <f t="shared" si="21"/>
        <v>192123.27974228348</v>
      </c>
      <c r="P9" s="4">
        <f t="shared" si="22"/>
        <v>192712.79527400836</v>
      </c>
      <c r="Q9" s="4">
        <f t="shared" si="23"/>
        <v>193304.11968887644</v>
      </c>
      <c r="R9" s="4">
        <f t="shared" si="24"/>
        <v>193897.25853730677</v>
      </c>
      <c r="S9" s="4">
        <f t="shared" si="25"/>
        <v>194492.21738674943</v>
      </c>
      <c r="T9" s="4">
        <f t="shared" si="26"/>
        <v>195089.00182173774</v>
      </c>
      <c r="U9" s="4">
        <f t="shared" si="27"/>
        <v>195687.61744394078</v>
      </c>
      <c r="V9" s="4">
        <f t="shared" si="28"/>
        <v>196288.06987221591</v>
      </c>
      <c r="W9" s="4">
        <f t="shared" si="29"/>
        <v>196890.36474266154</v>
      </c>
      <c r="X9" s="4">
        <f t="shared" si="30"/>
        <v>197494.50770866999</v>
      </c>
      <c r="Y9" s="4">
        <f t="shared" si="31"/>
        <v>198100.50444098059</v>
      </c>
      <c r="Z9" s="4">
        <f t="shared" si="32"/>
        <v>198708.36062773288</v>
      </c>
      <c r="AA9" s="4">
        <f t="shared" si="33"/>
        <v>199318.08197452006</v>
      </c>
      <c r="AB9" s="4">
        <f t="shared" si="34"/>
        <v>199929.67420444248</v>
      </c>
      <c r="AC9" s="4">
        <f t="shared" si="35"/>
        <v>200543.14305816137</v>
      </c>
      <c r="AD9" s="4">
        <f t="shared" si="36"/>
        <v>201158.49429395277</v>
      </c>
      <c r="AE9" s="4">
        <f t="shared" si="37"/>
        <v>201775.7336877615</v>
      </c>
      <c r="AF9" s="4">
        <f t="shared" si="38"/>
        <v>202394.86703325549</v>
      </c>
      <c r="AG9" s="4">
        <f t="shared" si="39"/>
        <v>203015.90014188003</v>
      </c>
      <c r="AH9" s="4">
        <f t="shared" si="40"/>
        <v>203638.83884291243</v>
      </c>
      <c r="AI9" s="4">
        <f t="shared" si="41"/>
        <v>204263.68898351668</v>
      </c>
      <c r="AJ9" s="4">
        <f t="shared" si="42"/>
        <v>204890.45642879832</v>
      </c>
      <c r="AK9" s="4">
        <f t="shared" si="43"/>
        <v>205519.14706185955</v>
      </c>
      <c r="AL9" s="4">
        <f t="shared" si="44"/>
        <v>206149.7667838544</v>
      </c>
      <c r="AM9" s="4">
        <f t="shared" si="45"/>
        <v>206782.3215140441</v>
      </c>
      <c r="AN9" s="4">
        <f t="shared" si="46"/>
        <v>207416.81718985277</v>
      </c>
      <c r="AO9" s="4">
        <f t="shared" si="47"/>
        <v>208053.25976692297</v>
      </c>
      <c r="AP9" s="4">
        <f t="shared" si="48"/>
        <v>208691.65521917175</v>
      </c>
      <c r="AQ9" s="4">
        <f t="shared" si="49"/>
        <v>209332.00953884661</v>
      </c>
      <c r="AR9" s="4">
        <f t="shared" si="50"/>
        <v>209974.32873658187</v>
      </c>
      <c r="AS9" s="4">
        <f t="shared" si="51"/>
        <v>210618.61884145497</v>
      </c>
      <c r="AT9" s="4">
        <f t="shared" si="52"/>
        <v>211264.88590104313</v>
      </c>
      <c r="AU9" s="4">
        <f t="shared" si="53"/>
        <v>211913.1359814801</v>
      </c>
      <c r="AV9" s="4">
        <f t="shared" si="54"/>
        <v>212563.37516751306</v>
      </c>
      <c r="AW9" s="4">
        <f t="shared" si="55"/>
        <v>213215.60956255984</v>
      </c>
      <c r="AX9" s="4">
        <f t="shared" si="56"/>
        <v>213869.84528876608</v>
      </c>
      <c r="AY9" s="4">
        <f t="shared" si="57"/>
        <v>214526.08848706278</v>
      </c>
      <c r="AZ9" s="4">
        <f t="shared" si="58"/>
        <v>215184.34531722387</v>
      </c>
      <c r="BA9" s="4">
        <f t="shared" si="59"/>
        <v>215844.62195792413</v>
      </c>
      <c r="BB9" s="4">
        <f t="shared" si="60"/>
        <v>216506.92460679711</v>
      </c>
      <c r="BC9" s="4">
        <f t="shared" si="61"/>
        <v>217171.25948049335</v>
      </c>
      <c r="BD9" s="4">
        <f t="shared" si="62"/>
        <v>217837.63281473864</v>
      </c>
      <c r="BE9" s="4">
        <f t="shared" si="63"/>
        <v>218506.05086439266</v>
      </c>
      <c r="BF9" s="4">
        <f t="shared" si="64"/>
        <v>219176.51990350764</v>
      </c>
      <c r="BG9" s="4">
        <f t="shared" si="65"/>
        <v>219849.04622538725</v>
      </c>
      <c r="BH9" s="4">
        <f t="shared" si="66"/>
        <v>220523.6361426457</v>
      </c>
      <c r="BI9" s="4">
        <f t="shared" si="67"/>
        <v>221200.29598726693</v>
      </c>
      <c r="BJ9" s="4">
        <f t="shared" si="68"/>
        <v>221879.03211066412</v>
      </c>
      <c r="BK9" s="4">
        <f t="shared" si="69"/>
        <v>222559.8508837393</v>
      </c>
      <c r="BL9" s="4">
        <f t="shared" si="70"/>
        <v>223242.75869694306</v>
      </c>
      <c r="BM9" s="4">
        <f t="shared" si="7"/>
        <v>223927.76196033464</v>
      </c>
      <c r="BN9" s="4">
        <f t="shared" si="5"/>
        <v>224614.86710364203</v>
      </c>
      <c r="BO9" s="4">
        <f t="shared" si="5"/>
        <v>225304.08057632236</v>
      </c>
      <c r="BP9" s="4">
        <f t="shared" si="5"/>
        <v>225995.40884762246</v>
      </c>
      <c r="BQ9" s="4">
        <f t="shared" si="5"/>
        <v>226688.85840663945</v>
      </c>
      <c r="BR9" s="4">
        <f t="shared" si="5"/>
        <v>227384.43576238185</v>
      </c>
      <c r="BS9" s="4">
        <f t="shared" si="6"/>
        <v>228082.14744383053</v>
      </c>
      <c r="BT9" s="4">
        <v>228782</v>
      </c>
      <c r="BU9" s="4">
        <v>229484</v>
      </c>
      <c r="BV9" s="4">
        <v>230990</v>
      </c>
      <c r="BW9" s="4">
        <v>233045</v>
      </c>
      <c r="BX9" s="4">
        <v>233778</v>
      </c>
      <c r="BY9" s="4">
        <v>234996</v>
      </c>
      <c r="BZ9" s="4">
        <v>236991</v>
      </c>
      <c r="CA9" s="4">
        <v>238983</v>
      </c>
      <c r="CB9" s="4">
        <v>240055</v>
      </c>
      <c r="CC9" s="4">
        <v>241960</v>
      </c>
      <c r="CD9" s="4">
        <v>243476</v>
      </c>
      <c r="CE9" s="4">
        <v>245112</v>
      </c>
      <c r="CF9" s="4">
        <v>246259</v>
      </c>
      <c r="CG9" s="4">
        <v>247084</v>
      </c>
      <c r="CH9" s="4">
        <v>248839</v>
      </c>
      <c r="CI9" s="4">
        <v>251389</v>
      </c>
      <c r="CJ9" s="4">
        <v>253446</v>
      </c>
      <c r="CK9" s="4">
        <v>255908</v>
      </c>
      <c r="CL9" s="4">
        <v>257285</v>
      </c>
      <c r="CM9" s="4">
        <v>258910</v>
      </c>
      <c r="CN9" s="4">
        <v>260545</v>
      </c>
      <c r="CO9" s="4">
        <v>262188</v>
      </c>
      <c r="CP9" s="4">
        <v>264053</v>
      </c>
      <c r="CQ9" s="4">
        <v>265477</v>
      </c>
      <c r="CR9" s="4">
        <v>267375</v>
      </c>
      <c r="CS9" s="4">
        <v>268787</v>
      </c>
      <c r="CT9" s="4">
        <v>270957</v>
      </c>
      <c r="CU9" s="4">
        <v>272129</v>
      </c>
      <c r="CV9" s="4">
        <v>273087</v>
      </c>
      <c r="CW9" s="4">
        <v>274105</v>
      </c>
      <c r="CX9" s="4">
        <v>275867</v>
      </c>
      <c r="CY9" s="4">
        <v>276432</v>
      </c>
      <c r="CZ9" s="4">
        <v>277470</v>
      </c>
      <c r="DA9" s="4">
        <v>279219</v>
      </c>
      <c r="DB9" s="4">
        <v>280659</v>
      </c>
      <c r="DC9" s="4">
        <v>282211</v>
      </c>
      <c r="DD9" s="4">
        <v>283671</v>
      </c>
      <c r="DE9" s="4">
        <v>285012</v>
      </c>
      <c r="DF9" s="4">
        <v>287300</v>
      </c>
      <c r="DG9" s="4">
        <v>289320</v>
      </c>
      <c r="DH9" s="4">
        <v>290517</v>
      </c>
      <c r="DI9" s="4">
        <v>291523</v>
      </c>
      <c r="DJ9" s="4">
        <v>293484</v>
      </c>
      <c r="DK9" s="4">
        <v>294887</v>
      </c>
      <c r="DL9" s="4">
        <v>296087</v>
      </c>
      <c r="DM9" s="4">
        <v>296519</v>
      </c>
      <c r="DN9" s="4">
        <v>299204</v>
      </c>
      <c r="DO9" s="4">
        <v>299753</v>
      </c>
      <c r="DP9" s="4">
        <v>300030</v>
      </c>
      <c r="DQ9" s="4">
        <v>300490</v>
      </c>
      <c r="DR9" s="4">
        <v>301413</v>
      </c>
      <c r="DS9" s="4">
        <v>302194</v>
      </c>
      <c r="DT9" s="4">
        <v>303134</v>
      </c>
      <c r="DU9" s="4">
        <v>303289</v>
      </c>
      <c r="DV9" s="4">
        <v>305388</v>
      </c>
      <c r="DW9" s="4">
        <v>305838</v>
      </c>
      <c r="DX9" s="4">
        <v>306880</v>
      </c>
      <c r="DY9" s="4">
        <v>307022</v>
      </c>
      <c r="DZ9" s="4">
        <v>308512</v>
      </c>
      <c r="EA9" s="4">
        <v>309629</v>
      </c>
      <c r="EB9" s="4">
        <v>310227</v>
      </c>
      <c r="EC9" s="4">
        <v>310655</v>
      </c>
      <c r="ED9" s="4">
        <v>310910</v>
      </c>
      <c r="EE9" s="4">
        <v>310533</v>
      </c>
      <c r="EF9" s="4">
        <v>310258</v>
      </c>
      <c r="EG9" s="4">
        <v>310281</v>
      </c>
      <c r="EH9" s="4">
        <v>311026</v>
      </c>
      <c r="EI9" s="4">
        <v>311532</v>
      </c>
      <c r="EJ9" s="4">
        <v>311732</v>
      </c>
      <c r="EK9" s="4">
        <v>312300</v>
      </c>
      <c r="EL9" s="4">
        <v>313466</v>
      </c>
      <c r="EM9" s="4">
        <v>314171</v>
      </c>
      <c r="EN9" s="4">
        <v>314833</v>
      </c>
      <c r="EO9" s="4">
        <v>315431</v>
      </c>
      <c r="EP9" s="4">
        <v>316731</v>
      </c>
      <c r="EQ9" s="4">
        <v>317235</v>
      </c>
      <c r="ER9" s="4">
        <v>318079</v>
      </c>
      <c r="ES9" s="4">
        <v>318941</v>
      </c>
      <c r="ET9" s="4">
        <v>320526</v>
      </c>
      <c r="EU9" s="4">
        <v>321538</v>
      </c>
      <c r="EV9" s="4">
        <v>321942</v>
      </c>
      <c r="EW9" s="4">
        <v>322874</v>
      </c>
      <c r="EX9" s="4">
        <v>324187</v>
      </c>
      <c r="EY9" s="4">
        <v>324627</v>
      </c>
      <c r="EZ9" s="4">
        <v>325255</v>
      </c>
      <c r="FA9" s="4">
        <v>325950</v>
      </c>
      <c r="FB9" s="4">
        <v>327083</v>
      </c>
      <c r="FC9" s="4">
        <v>327357</v>
      </c>
      <c r="FD9" s="4">
        <v>327387</v>
      </c>
      <c r="FE9" s="4">
        <v>327596</v>
      </c>
      <c r="FF9" s="4">
        <v>328560</v>
      </c>
      <c r="FG9" s="4">
        <v>328940</v>
      </c>
      <c r="FH9" s="4">
        <v>329131</v>
      </c>
      <c r="FI9" s="4">
        <v>329498</v>
      </c>
      <c r="FJ9" s="4">
        <v>330916</v>
      </c>
      <c r="FK9" s="4">
        <v>331399</v>
      </c>
      <c r="FL9" s="4">
        <v>332177</v>
      </c>
      <c r="FM9" s="4">
        <v>333505</v>
      </c>
      <c r="FN9" s="4">
        <v>334299</v>
      </c>
      <c r="FO9" s="4">
        <v>335170</v>
      </c>
      <c r="FP9" s="4">
        <v>336547</v>
      </c>
      <c r="FQ9" s="4">
        <v>338381</v>
      </c>
      <c r="FR9" s="4">
        <v>340544</v>
      </c>
      <c r="FS9" s="4">
        <v>342644</v>
      </c>
      <c r="FT9" s="4">
        <v>343341</v>
      </c>
      <c r="FU9" s="4">
        <v>344176</v>
      </c>
      <c r="FV9" s="4">
        <v>346477</v>
      </c>
      <c r="FW9" s="4">
        <v>348368</v>
      </c>
      <c r="FX9" s="4">
        <v>349543</v>
      </c>
      <c r="FY9" s="4">
        <v>351101</v>
      </c>
      <c r="FZ9" s="4">
        <v>353351</v>
      </c>
      <c r="GA9" s="4">
        <v>354785</v>
      </c>
      <c r="GB9" s="4">
        <v>356310</v>
      </c>
      <c r="GC9" s="4">
        <v>357859</v>
      </c>
      <c r="GD9" s="4">
        <v>360361</v>
      </c>
      <c r="GE9" s="4">
        <v>361766</v>
      </c>
      <c r="GF9" s="4">
        <v>362838</v>
      </c>
      <c r="GG9" s="4">
        <v>364833</v>
      </c>
      <c r="GH9" s="4">
        <v>366737</v>
      </c>
      <c r="GI9" s="4">
        <v>367985</v>
      </c>
      <c r="GJ9" s="4">
        <v>369888</v>
      </c>
      <c r="GK9" s="4">
        <v>372070</v>
      </c>
      <c r="GL9" s="4">
        <v>374853</v>
      </c>
      <c r="GM9" s="4">
        <v>376539</v>
      </c>
      <c r="GN9" s="4">
        <v>378586</v>
      </c>
      <c r="GO9" s="4">
        <v>379812</v>
      </c>
      <c r="GP9" s="4">
        <v>382082</v>
      </c>
      <c r="GQ9" s="4">
        <v>383257</v>
      </c>
      <c r="GR9" s="4">
        <v>384690</v>
      </c>
      <c r="GS9" s="4">
        <v>386318</v>
      </c>
      <c r="GT9" s="4">
        <v>388190</v>
      </c>
      <c r="GU9" s="4">
        <v>388799</v>
      </c>
      <c r="GV9" s="4">
        <v>390654</v>
      </c>
      <c r="GW9" s="4">
        <v>391981</v>
      </c>
      <c r="GX9" s="4">
        <v>394491</v>
      </c>
    </row>
    <row r="11" spans="1:206" hidden="1">
      <c r="B11" t="s">
        <v>358</v>
      </c>
      <c r="C11" t="s">
        <v>359</v>
      </c>
      <c r="D11" t="s">
        <v>360</v>
      </c>
      <c r="E11" t="s">
        <v>361</v>
      </c>
      <c r="F11" t="s">
        <v>358</v>
      </c>
      <c r="G11" t="s">
        <v>359</v>
      </c>
      <c r="H11" t="s">
        <v>360</v>
      </c>
      <c r="I11" t="s">
        <v>361</v>
      </c>
      <c r="J11" t="s">
        <v>358</v>
      </c>
      <c r="K11" t="s">
        <v>359</v>
      </c>
      <c r="L11" t="s">
        <v>360</v>
      </c>
      <c r="M11" t="s">
        <v>361</v>
      </c>
      <c r="N11" t="s">
        <v>358</v>
      </c>
      <c r="O11" t="s">
        <v>359</v>
      </c>
      <c r="P11" t="s">
        <v>360</v>
      </c>
      <c r="Q11" t="s">
        <v>361</v>
      </c>
      <c r="R11" t="s">
        <v>358</v>
      </c>
      <c r="S11" t="s">
        <v>359</v>
      </c>
      <c r="T11" t="s">
        <v>360</v>
      </c>
      <c r="U11" t="s">
        <v>361</v>
      </c>
      <c r="V11" t="s">
        <v>358</v>
      </c>
      <c r="W11" t="s">
        <v>359</v>
      </c>
      <c r="X11" t="s">
        <v>360</v>
      </c>
      <c r="Y11" t="s">
        <v>361</v>
      </c>
      <c r="Z11" t="s">
        <v>358</v>
      </c>
      <c r="AA11" t="s">
        <v>359</v>
      </c>
      <c r="AB11" t="s">
        <v>360</v>
      </c>
      <c r="AC11" t="s">
        <v>361</v>
      </c>
      <c r="AD11" t="s">
        <v>358</v>
      </c>
      <c r="AE11" t="s">
        <v>359</v>
      </c>
      <c r="AF11" t="s">
        <v>360</v>
      </c>
      <c r="AG11" t="s">
        <v>361</v>
      </c>
      <c r="AH11" t="s">
        <v>358</v>
      </c>
      <c r="AI11" t="s">
        <v>359</v>
      </c>
      <c r="AJ11" t="s">
        <v>360</v>
      </c>
      <c r="AK11" t="s">
        <v>361</v>
      </c>
      <c r="AL11" t="s">
        <v>358</v>
      </c>
      <c r="AM11" t="s">
        <v>359</v>
      </c>
      <c r="AN11" t="s">
        <v>360</v>
      </c>
      <c r="AO11" t="s">
        <v>361</v>
      </c>
      <c r="AP11" t="s">
        <v>358</v>
      </c>
      <c r="AQ11" t="s">
        <v>359</v>
      </c>
      <c r="AR11" t="s">
        <v>360</v>
      </c>
      <c r="AS11" t="s">
        <v>361</v>
      </c>
      <c r="AT11" t="s">
        <v>358</v>
      </c>
      <c r="AU11" t="s">
        <v>359</v>
      </c>
      <c r="AV11" t="s">
        <v>360</v>
      </c>
      <c r="AW11" t="s">
        <v>361</v>
      </c>
      <c r="AX11" t="s">
        <v>358</v>
      </c>
      <c r="AY11" t="s">
        <v>359</v>
      </c>
      <c r="AZ11" t="s">
        <v>360</v>
      </c>
      <c r="BA11" t="s">
        <v>361</v>
      </c>
      <c r="BB11" t="s">
        <v>358</v>
      </c>
      <c r="BC11" t="s">
        <v>359</v>
      </c>
      <c r="BD11" t="s">
        <v>360</v>
      </c>
      <c r="BE11" t="s">
        <v>361</v>
      </c>
      <c r="BF11" t="s">
        <v>358</v>
      </c>
      <c r="BG11" t="s">
        <v>359</v>
      </c>
      <c r="BH11" t="s">
        <v>360</v>
      </c>
      <c r="BI11" t="s">
        <v>361</v>
      </c>
      <c r="BJ11" t="s">
        <v>358</v>
      </c>
      <c r="BK11" t="s">
        <v>359</v>
      </c>
      <c r="BL11" t="s">
        <v>360</v>
      </c>
      <c r="BM11" t="s">
        <v>361</v>
      </c>
      <c r="BN11" t="s">
        <v>358</v>
      </c>
      <c r="BO11" t="s">
        <v>359</v>
      </c>
      <c r="BP11" t="s">
        <v>360</v>
      </c>
      <c r="BQ11" t="s">
        <v>361</v>
      </c>
    </row>
    <row r="12" spans="1:206" hidden="1">
      <c r="B12">
        <v>1964</v>
      </c>
      <c r="C12">
        <v>1964</v>
      </c>
      <c r="D12">
        <v>1964</v>
      </c>
      <c r="E12">
        <v>1964</v>
      </c>
      <c r="F12">
        <v>1965</v>
      </c>
      <c r="G12">
        <v>1965</v>
      </c>
      <c r="H12">
        <v>1965</v>
      </c>
      <c r="I12">
        <v>1965</v>
      </c>
      <c r="J12">
        <v>1966</v>
      </c>
      <c r="K12">
        <v>1966</v>
      </c>
      <c r="L12">
        <v>1966</v>
      </c>
      <c r="M12">
        <v>1966</v>
      </c>
      <c r="N12">
        <v>1967</v>
      </c>
      <c r="O12">
        <v>1967</v>
      </c>
      <c r="P12">
        <v>1967</v>
      </c>
      <c r="Q12">
        <v>1967</v>
      </c>
      <c r="R12">
        <v>1968</v>
      </c>
      <c r="S12">
        <v>1968</v>
      </c>
      <c r="T12">
        <v>1968</v>
      </c>
      <c r="U12">
        <v>1968</v>
      </c>
      <c r="V12">
        <v>1969</v>
      </c>
      <c r="W12">
        <v>1969</v>
      </c>
      <c r="X12">
        <v>1969</v>
      </c>
      <c r="Y12">
        <v>1969</v>
      </c>
      <c r="Z12">
        <v>1970</v>
      </c>
      <c r="AA12">
        <v>1970</v>
      </c>
      <c r="AB12">
        <v>1970</v>
      </c>
      <c r="AC12">
        <v>1970</v>
      </c>
      <c r="AD12">
        <v>1971</v>
      </c>
      <c r="AE12">
        <v>1971</v>
      </c>
      <c r="AF12">
        <v>1971</v>
      </c>
      <c r="AG12">
        <v>1971</v>
      </c>
      <c r="AH12">
        <v>1972</v>
      </c>
      <c r="AI12">
        <v>1972</v>
      </c>
      <c r="AJ12">
        <v>1972</v>
      </c>
      <c r="AK12">
        <v>1972</v>
      </c>
      <c r="AL12">
        <v>1973</v>
      </c>
      <c r="AM12">
        <v>1973</v>
      </c>
      <c r="AN12">
        <v>1973</v>
      </c>
      <c r="AO12">
        <v>1973</v>
      </c>
      <c r="AP12">
        <v>1974</v>
      </c>
      <c r="AQ12">
        <v>1974</v>
      </c>
      <c r="AR12">
        <v>1974</v>
      </c>
      <c r="AS12">
        <v>1974</v>
      </c>
      <c r="AT12">
        <v>1975</v>
      </c>
      <c r="AU12">
        <v>1975</v>
      </c>
      <c r="AV12">
        <v>1975</v>
      </c>
      <c r="AW12">
        <v>1975</v>
      </c>
      <c r="AX12">
        <v>1976</v>
      </c>
      <c r="AY12">
        <v>1976</v>
      </c>
      <c r="AZ12">
        <v>1976</v>
      </c>
      <c r="BA12">
        <v>1976</v>
      </c>
      <c r="BB12">
        <v>1977</v>
      </c>
      <c r="BC12">
        <v>1977</v>
      </c>
      <c r="BD12">
        <v>1977</v>
      </c>
      <c r="BE12">
        <v>1977</v>
      </c>
      <c r="BF12">
        <v>1978</v>
      </c>
      <c r="BG12">
        <v>1978</v>
      </c>
      <c r="BH12">
        <v>1978</v>
      </c>
      <c r="BI12">
        <v>1978</v>
      </c>
      <c r="BJ12">
        <v>1979</v>
      </c>
      <c r="BK12">
        <v>1979</v>
      </c>
      <c r="BL12">
        <v>1979</v>
      </c>
      <c r="BM12">
        <v>1979</v>
      </c>
      <c r="BN12">
        <v>1980</v>
      </c>
      <c r="BO12">
        <v>1980</v>
      </c>
      <c r="BP12">
        <v>1980</v>
      </c>
      <c r="BQ12">
        <v>1980</v>
      </c>
    </row>
  </sheetData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rmcderm1</cp:lastModifiedBy>
  <cp:revision/>
  <dcterms:created xsi:type="dcterms:W3CDTF">2026-04-14T15:41:09Z</dcterms:created>
  <dcterms:modified xsi:type="dcterms:W3CDTF">2026-04-17T17:59:30Z</dcterms:modified>
  <cp:category/>
  <cp:contentStatus/>
</cp:coreProperties>
</file>